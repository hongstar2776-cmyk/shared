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joco-my.sharepoint.com/personal/hongstar_yejo_co_kr/Documents/홍재현/12. gemini/260324 RISKASSESMENT/resource/"/>
    </mc:Choice>
  </mc:AlternateContent>
  <xr:revisionPtr revIDLastSave="4" documentId="13_ncr:1_{4F748898-7E65-4972-BAD5-076558F1C1D6}" xr6:coauthVersionLast="47" xr6:coauthVersionMax="47" xr10:uidLastSave="{3CF6D272-5F55-447D-A883-E3D0A9A7C27D}"/>
  <bookViews>
    <workbookView xWindow="-120" yWindow="-120" windowWidth="38640" windowHeight="21240" xr2:uid="{B5863917-BDB7-4A7C-A753-3D5696BDB3C2}"/>
  </bookViews>
  <sheets>
    <sheet name="기본정보" sheetId="1" r:id="rId1"/>
    <sheet name="공종별 위험성평가" sheetId="2" r:id="rId2"/>
  </sheets>
  <definedNames>
    <definedName name="_xlnm.Print_Area" localSheetId="1">'공종별 위험성평가'!$B$1:$AQ$210</definedName>
    <definedName name="_xlnm.Print_Area" localSheetId="0">기본정보!$A$1:$V$127</definedName>
    <definedName name="_xlnm.Print_Titles" localSheetId="1">'공종별 위험성평가'!$6:$10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3" i="2"/>
  <c r="I2" i="2"/>
  <c r="E52" i="1" l="1"/>
  <c r="E53" i="1"/>
  <c r="L60" i="1"/>
  <c r="S53" i="1"/>
  <c r="E45" i="1"/>
  <c r="A25" i="1"/>
  <c r="A10" i="1"/>
</calcChain>
</file>

<file path=xl/sharedStrings.xml><?xml version="1.0" encoding="utf-8"?>
<sst xmlns="http://schemas.openxmlformats.org/spreadsheetml/2006/main" count="136" uniqueCount="109">
  <si>
    <t>123TEST공사</t>
    <phoneticPr fontId="1" type="noConversion"/>
  </si>
  <si>
    <t>주식회사 예조종합건설</t>
    <phoneticPr fontId="1" type="noConversion"/>
  </si>
  <si>
    <t>발주처</t>
  </si>
  <si>
    <t>시공사</t>
  </si>
  <si>
    <t>공사명</t>
  </si>
  <si>
    <t>대지면적</t>
  </si>
  <si>
    <t>대지위치</t>
  </si>
  <si>
    <t>건축면적</t>
  </si>
  <si>
    <t>주요구조</t>
  </si>
  <si>
    <t>연면적</t>
  </si>
  <si>
    <t>건축규모</t>
  </si>
  <si>
    <t>공사기간</t>
  </si>
  <si>
    <t>■ 공사개요</t>
    <phoneticPr fontId="1" type="noConversion"/>
  </si>
  <si>
    <t>■ 위험성평가 실시 규정</t>
    <phoneticPr fontId="1" type="noConversion"/>
  </si>
  <si>
    <t>현장명</t>
    <phoneticPr fontId="1" type="noConversion"/>
  </si>
  <si>
    <t>공사명</t>
    <phoneticPr fontId="1" type="noConversion"/>
  </si>
  <si>
    <t>시공사</t>
    <phoneticPr fontId="1" type="noConversion"/>
  </si>
  <si>
    <t>현장소장</t>
    <phoneticPr fontId="1" type="noConversion"/>
  </si>
  <si>
    <t>작성기준일</t>
    <phoneticPr fontId="1" type="noConversion"/>
  </si>
  <si>
    <t>위험성평가
(최초)</t>
    <phoneticPr fontId="1" type="noConversion"/>
  </si>
  <si>
    <t>작성일자</t>
    <phoneticPr fontId="1" type="noConversion"/>
  </si>
  <si>
    <t>작성자</t>
    <phoneticPr fontId="1" type="noConversion"/>
  </si>
  <si>
    <t>근로자대표</t>
    <phoneticPr fontId="1" type="noConversion"/>
  </si>
  <si>
    <t>승인자</t>
    <phoneticPr fontId="1" type="noConversion"/>
  </si>
  <si>
    <t>목적</t>
    <phoneticPr fontId="1" type="noConversion"/>
  </si>
  <si>
    <t>방법</t>
    <phoneticPr fontId="1" type="noConversion"/>
  </si>
  <si>
    <t xml:space="preserve">·위험성 수준 3단계 판단법(상-중-하) </t>
    <phoneticPr fontId="1" type="noConversion"/>
  </si>
  <si>
    <t>·근로자 참여를 통한 실질적인 위험성평가로 사망사고 제로 실현</t>
    <phoneticPr fontId="1" type="noConversion"/>
  </si>
  <si>
    <t>안전보건관리책임자</t>
  </si>
  <si>
    <r>
      <t>(</t>
    </r>
    <r>
      <rPr>
        <sz val="10"/>
        <color rgb="FF000000"/>
        <rFont val="맑은 고딕"/>
        <family val="3"/>
        <charset val="129"/>
        <scheme val="minor"/>
      </rPr>
      <t>현장소장</t>
    </r>
    <r>
      <rPr>
        <sz val="10"/>
        <color rgb="FF000000"/>
        <rFont val="한컴 고딕"/>
        <family val="3"/>
        <charset val="129"/>
      </rPr>
      <t>)</t>
    </r>
  </si>
  <si>
    <t>성명</t>
  </si>
  <si>
    <t>위험성평가 담당자</t>
    <phoneticPr fontId="1" type="noConversion"/>
  </si>
  <si>
    <t>근로자(작업반장)</t>
    <phoneticPr fontId="1" type="noConversion"/>
  </si>
  <si>
    <t>공사담당자/협력업체소장</t>
    <phoneticPr fontId="1" type="noConversion"/>
  </si>
  <si>
    <t>미정</t>
    <phoneticPr fontId="1" type="noConversion"/>
  </si>
  <si>
    <t>예시현장소장</t>
    <phoneticPr fontId="1" type="noConversion"/>
  </si>
  <si>
    <t>안전보건
관리책임자
(현장소장)</t>
    <phoneticPr fontId="1" type="noConversion"/>
  </si>
  <si>
    <t>위험성평가
담당자</t>
    <phoneticPr fontId="1" type="noConversion"/>
  </si>
  <si>
    <t>관리감독자
/
공종별 협력업체 소장</t>
    <phoneticPr fontId="1" type="noConversion"/>
  </si>
  <si>
    <t xml:space="preserve">일반 근로자 </t>
    <phoneticPr fontId="1" type="noConversion"/>
  </si>
  <si>
    <t>·위험성평가 총괄
·위험성 감소대책에 대한 인적·물적 지원 및 이행책임</t>
    <phoneticPr fontId="1" type="noConversion"/>
  </si>
  <si>
    <t>·실시규정 작성 등 사전준비 총괄
·위험성평가 관련 회의 소집 및 운영
·회의안건 작성 및 위험성평가표 관리
·TBM 사항 선정 및 TBM 담당자 전파
·위험성평가 결과 교육 및 공유 총괄</t>
    <phoneticPr fontId="1" type="noConversion"/>
  </si>
  <si>
    <t>·노사 합동 순회점검 참여를 통한  유해·위험요인 발굴
·유해·위험요인별 위험성 결정
·위험성 감소대책 마련 및 대책의 적합성 여부 검증
·위험성 감소대책의 이행여부 점검
·위험성평가 내용 공유·TBM 전파</t>
    <phoneticPr fontId="1" type="noConversion"/>
  </si>
  <si>
    <t>·작업관련 위험성평가·TBM 참여
·평시 위험 제안, 아차사고 제보 참여
·안전수칙 및 개선대책 적극 이행</t>
    <phoneticPr fontId="1" type="noConversion"/>
  </si>
  <si>
    <t>조직 역할</t>
    <phoneticPr fontId="1" type="noConversion"/>
  </si>
  <si>
    <t>조직도</t>
    <phoneticPr fontId="1" type="noConversion"/>
  </si>
  <si>
    <t>평가별 시기</t>
    <phoneticPr fontId="1" type="noConversion"/>
  </si>
  <si>
    <t>실시주기</t>
    <phoneticPr fontId="1" type="noConversion"/>
  </si>
  <si>
    <t>참여자</t>
    <phoneticPr fontId="1" type="noConversion"/>
  </si>
  <si>
    <t>세부 내용</t>
    <phoneticPr fontId="1" type="noConversion"/>
  </si>
  <si>
    <t>·현장소장
·평가담당자
·공사담당자
·협력업체 소장
·현장 근로자</t>
    <phoneticPr fontId="1" type="noConversion"/>
  </si>
  <si>
    <t>위험성평가 실시
(위험파악·대책마련 절차)</t>
    <phoneticPr fontId="1" type="noConversion"/>
  </si>
  <si>
    <r>
      <rPr>
        <sz val="11"/>
        <color rgb="FF000000"/>
        <rFont val="Wingdings"/>
        <family val="3"/>
        <charset val="2"/>
      </rPr>
      <t></t>
    </r>
    <r>
      <rPr>
        <sz val="11"/>
        <color rgb="FF000000"/>
        <rFont val="Calibri"/>
        <family val="3"/>
      </rPr>
      <t>(</t>
    </r>
    <r>
      <rPr>
        <sz val="11"/>
        <color rgb="FF000000"/>
        <rFont val="맑은 고딕"/>
        <family val="3"/>
        <charset val="129"/>
        <scheme val="minor"/>
      </rPr>
      <t>최초평가</t>
    </r>
    <r>
      <rPr>
        <sz val="11"/>
        <color rgb="FF000000"/>
        <rFont val="Calibri"/>
        <family val="3"/>
      </rPr>
      <t xml:space="preserve">) </t>
    </r>
    <r>
      <rPr>
        <sz val="11"/>
        <color rgb="FF000000"/>
        <rFont val="맑은 고딕"/>
        <family val="3"/>
        <charset val="129"/>
        <scheme val="minor"/>
      </rPr>
      <t>공사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실착공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후</t>
    </r>
    <r>
      <rPr>
        <sz val="11"/>
        <color rgb="FF000000"/>
        <rFont val="Calibri"/>
        <family val="3"/>
      </rPr>
      <t xml:space="preserve"> 1</t>
    </r>
    <r>
      <rPr>
        <sz val="11"/>
        <color rgb="FF000000"/>
        <rFont val="맑은 고딕"/>
        <family val="3"/>
        <charset val="129"/>
        <scheme val="minor"/>
      </rPr>
      <t>개월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이내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착수</t>
    </r>
    <r>
      <rPr>
        <sz val="11"/>
        <color rgb="FF000000"/>
        <rFont val="Wingdings"/>
        <family val="3"/>
        <charset val="2"/>
      </rPr>
      <t></t>
    </r>
    <r>
      <rPr>
        <sz val="11"/>
        <color rgb="FF000000"/>
        <rFont val="Calibri"/>
        <family val="3"/>
      </rPr>
      <t xml:space="preserve"> (</t>
    </r>
    <r>
      <rPr>
        <sz val="11"/>
        <color rgb="FF000000"/>
        <rFont val="맑은 고딕"/>
        <family val="3"/>
        <charset val="129"/>
        <scheme val="minor"/>
      </rPr>
      <t>상시평가</t>
    </r>
    <r>
      <rPr>
        <sz val="11"/>
        <color rgb="FF000000"/>
        <rFont val="Calibri"/>
        <family val="3"/>
      </rPr>
      <t xml:space="preserve">) </t>
    </r>
    <r>
      <rPr>
        <sz val="11"/>
        <color rgb="FF000000"/>
        <rFont val="맑은 고딕"/>
        <family val="3"/>
        <charset val="129"/>
        <scheme val="minor"/>
      </rPr>
      <t>최초평가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후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매월</t>
    </r>
    <r>
      <rPr>
        <sz val="11"/>
        <color rgb="FF000000"/>
        <rFont val="Calibri"/>
        <family val="3"/>
      </rPr>
      <t xml:space="preserve"> 1</t>
    </r>
    <r>
      <rPr>
        <sz val="11"/>
        <color rgb="FF000000"/>
        <rFont val="맑은 고딕"/>
        <family val="3"/>
        <charset val="129"/>
        <scheme val="minor"/>
      </rPr>
      <t>회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이상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주기적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실시</t>
    </r>
    <r>
      <rPr>
        <sz val="11"/>
        <color rgb="FF000000"/>
        <rFont val="Calibri"/>
        <family val="3"/>
      </rPr>
      <t xml:space="preserve">
* </t>
    </r>
    <r>
      <rPr>
        <sz val="11"/>
        <color rgb="FF000000"/>
        <rFont val="맑은 고딕"/>
        <family val="3"/>
        <charset val="129"/>
        <scheme val="minor"/>
      </rPr>
      <t>최초</t>
    </r>
    <r>
      <rPr>
        <sz val="11"/>
        <color rgb="FF000000"/>
        <rFont val="Calibri"/>
        <family val="3"/>
      </rPr>
      <t>·</t>
    </r>
    <r>
      <rPr>
        <sz val="11"/>
        <color rgb="FF000000"/>
        <rFont val="맑은 고딕"/>
        <family val="3"/>
        <charset val="129"/>
        <scheme val="minor"/>
      </rPr>
      <t>주기적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위험성평가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시에는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미처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예상하지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못했던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환경이나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공정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변화로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인해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새로운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유해</t>
    </r>
    <r>
      <rPr>
        <sz val="11"/>
        <color rgb="FF000000"/>
        <rFont val="Calibri"/>
        <family val="3"/>
      </rPr>
      <t>·</t>
    </r>
    <r>
      <rPr>
        <sz val="11"/>
        <color rgb="FF000000"/>
        <rFont val="맑은 고딕"/>
        <family val="3"/>
        <charset val="129"/>
        <scheme val="minor"/>
      </rPr>
      <t>위험요인이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생기거나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유해</t>
    </r>
    <r>
      <rPr>
        <sz val="11"/>
        <color rgb="FF000000"/>
        <rFont val="Calibri"/>
        <family val="3"/>
      </rPr>
      <t>·</t>
    </r>
    <r>
      <rPr>
        <sz val="11"/>
        <color rgb="FF000000"/>
        <rFont val="맑은 고딕"/>
        <family val="3"/>
        <charset val="129"/>
        <scheme val="minor"/>
      </rPr>
      <t>위험요인의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위험성이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변동되었다면</t>
    </r>
    <r>
      <rPr>
        <sz val="11"/>
        <color rgb="FF000000"/>
        <rFont val="Calibri"/>
        <family val="3"/>
      </rPr>
      <t xml:space="preserve">, </t>
    </r>
    <r>
      <rPr>
        <sz val="11"/>
        <color rgb="FF000000"/>
        <rFont val="맑은 고딕"/>
        <family val="3"/>
        <charset val="129"/>
        <scheme val="minor"/>
      </rPr>
      <t>위험성평가를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실시하여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유해</t>
    </r>
    <r>
      <rPr>
        <sz val="11"/>
        <color rgb="FF000000"/>
        <rFont val="Calibri"/>
        <family val="3"/>
      </rPr>
      <t>·</t>
    </r>
    <r>
      <rPr>
        <sz val="11"/>
        <color rgb="FF000000"/>
        <rFont val="맑은 고딕"/>
        <family val="3"/>
        <charset val="129"/>
        <scheme val="minor"/>
      </rPr>
      <t>위험요인의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위험성을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결정하고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위험성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감소대책을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수립하여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시행</t>
    </r>
    <phoneticPr fontId="1" type="noConversion"/>
  </si>
  <si>
    <t>·현장소장
·평가담당자
·공사담당자
·협력업체 소장</t>
    <phoneticPr fontId="1" type="noConversion"/>
  </si>
  <si>
    <t>위험성평가 결과 논의·공유, 이행상황 점검
(원·하청 합동 안전 점검회의)</t>
    <phoneticPr fontId="1" type="noConversion"/>
  </si>
  <si>
    <r>
      <t xml:space="preserve">
</t>
    </r>
    <r>
      <rPr>
        <sz val="10"/>
        <color theme="1"/>
        <rFont val="Wingdings"/>
        <family val="2"/>
        <charset val="2"/>
      </rPr>
      <t></t>
    </r>
    <r>
      <rPr>
        <sz val="10"/>
        <color theme="1"/>
        <rFont val="맑은 고딕"/>
        <family val="2"/>
        <charset val="129"/>
        <scheme val="minor"/>
      </rPr>
      <t xml:space="preserve">(노·사합동 순회점검) 노·사 합동 순회점검을 통해 현장의 유해·위험요인을 확인한다. 이때, 월간 작업일정과 관련된 신규/변동 유해·위험요인에 유의한다.
 -순회점검 이전에 아차사고 사례 및 근로자 제안을 취합하여 즉시 대응할 수 있는 것은 즉시 대응하고, 순회점검 시 중점 점검한다.
</t>
    </r>
    <r>
      <rPr>
        <sz val="10"/>
        <color theme="1"/>
        <rFont val="Wingdings"/>
        <family val="2"/>
        <charset val="2"/>
      </rPr>
      <t></t>
    </r>
    <r>
      <rPr>
        <sz val="10"/>
        <color theme="1"/>
        <rFont val="맑은 고딕"/>
        <family val="2"/>
        <charset val="129"/>
        <scheme val="minor"/>
      </rPr>
      <t xml:space="preserve">(아차사고 검토) 월간 작업 일정과 관련된 아차사고 사례를 검토하여 사고로 이어질 수 있는 상황을 미리 예방한다.
</t>
    </r>
    <r>
      <rPr>
        <sz val="10"/>
        <color theme="1"/>
        <rFont val="Wingdings"/>
        <family val="2"/>
        <charset val="2"/>
      </rPr>
      <t></t>
    </r>
    <r>
      <rPr>
        <sz val="10"/>
        <color theme="1"/>
        <rFont val="맑은 고딕"/>
        <family val="2"/>
        <charset val="129"/>
        <scheme val="minor"/>
      </rPr>
      <t xml:space="preserve">(근로자 제안) 근로자들의 유해·위험요인 및 위험상황 제안제도를 활용하여 지난 한 달 제보받은 사항들을 점검하고, 사고로 이어질 수 있는 상황을 미리 예방한다.
 (예정공정표 활용) 정해진 위험성평가 주기 내에 예정된 작업공정 확인
 </t>
    </r>
    <r>
      <rPr>
        <sz val="10"/>
        <color theme="1"/>
        <rFont val="Segoe UI Symbol"/>
        <family val="2"/>
      </rPr>
      <t>➔</t>
    </r>
    <r>
      <rPr>
        <sz val="10"/>
        <color theme="1"/>
        <rFont val="맑은 고딕"/>
        <family val="2"/>
        <charset val="129"/>
        <scheme val="minor"/>
      </rPr>
      <t xml:space="preserve"> 파악한 유해·위험요인별로 위험성 수준을 결정하고, </t>
    </r>
    <r>
      <rPr>
        <sz val="10"/>
        <color theme="1"/>
        <rFont val="Noto Sans KR"/>
        <family val="3"/>
        <charset val="129"/>
      </rPr>
      <t>｢</t>
    </r>
    <r>
      <rPr>
        <sz val="10"/>
        <color theme="1"/>
        <rFont val="맑은 고딕"/>
        <family val="3"/>
        <charset val="129"/>
        <scheme val="minor"/>
      </rPr>
      <t>산업안전보건법</t>
    </r>
    <r>
      <rPr>
        <sz val="10"/>
        <color theme="1"/>
        <rFont val="Noto Sans KR"/>
        <family val="3"/>
        <charset val="129"/>
      </rPr>
      <t>｣</t>
    </r>
    <r>
      <rPr>
        <sz val="10"/>
        <color theme="1"/>
        <rFont val="맑은 고딕"/>
        <family val="3"/>
        <charset val="129"/>
        <scheme val="minor"/>
      </rPr>
      <t xml:space="preserve"> 등에서 정한 것 이상으로 위험성 감소대책 및 이행계획을 마련한다.</t>
    </r>
    <phoneticPr fontId="1" type="noConversion"/>
  </si>
  <si>
    <r>
      <rPr>
        <sz val="10"/>
        <color theme="1"/>
        <rFont val="Wingdings"/>
        <family val="3"/>
        <charset val="2"/>
      </rPr>
      <t></t>
    </r>
    <r>
      <rPr>
        <sz val="10"/>
        <color theme="1"/>
        <rFont val="맑은 고딕"/>
        <family val="3"/>
        <charset val="129"/>
        <scheme val="major"/>
      </rPr>
      <t xml:space="preserve">향후 1주간 공정·작업별 핵심 유해·위험요인과 근로자들의 주의·준수사항에 대해 공유한다.
</t>
    </r>
    <r>
      <rPr>
        <sz val="10"/>
        <color theme="1"/>
        <rFont val="Wingdings"/>
        <family val="3"/>
        <charset val="2"/>
      </rPr>
      <t></t>
    </r>
    <r>
      <rPr>
        <sz val="10"/>
        <color theme="1"/>
        <rFont val="맑은 고딕"/>
        <family val="3"/>
        <charset val="129"/>
        <scheme val="major"/>
      </rPr>
      <t xml:space="preserve">지난 1주간 유해·위험요인별 위험성 변동이 없는지 여부 및 위험성 감소대책 이행현황을 확인한다.
</t>
    </r>
    <r>
      <rPr>
        <sz val="10"/>
        <color theme="1"/>
        <rFont val="Wingdings"/>
        <family val="3"/>
        <charset val="2"/>
      </rPr>
      <t></t>
    </r>
    <r>
      <rPr>
        <sz val="10"/>
        <color theme="1"/>
        <rFont val="맑은 고딕"/>
        <family val="3"/>
        <charset val="129"/>
        <scheme val="major"/>
      </rPr>
      <t xml:space="preserve">신규/변동 유해·위험요인이 있는 경우 위험성 결정을 실시하고 위험성 감소대책을 마련한다. </t>
    </r>
    <phoneticPr fontId="1" type="noConversion"/>
  </si>
  <si>
    <t>월 1회</t>
    <phoneticPr fontId="1" type="noConversion"/>
  </si>
  <si>
    <t>주 1회</t>
    <phoneticPr fontId="1" type="noConversion"/>
  </si>
  <si>
    <t>일 1회</t>
    <phoneticPr fontId="1" type="noConversion"/>
  </si>
  <si>
    <t>작업 전 안전점검회의(TBM) 활용 
위험성평가 결과 공유</t>
    <phoneticPr fontId="1" type="noConversion"/>
  </si>
  <si>
    <r>
      <rPr>
        <sz val="10"/>
        <color theme="1"/>
        <rFont val="Wingdings"/>
        <family val="2"/>
        <charset val="2"/>
      </rPr>
      <t></t>
    </r>
    <r>
      <rPr>
        <sz val="10"/>
        <color theme="1"/>
        <rFont val="맑은 고딕"/>
        <family val="2"/>
        <charset val="129"/>
        <scheme val="minor"/>
      </rPr>
      <t xml:space="preserve">매 작업일마다 TBM을 통해 공정·작업별 핵심 유해·위험요인에 대한 주의·준수사항을 공유/전파한다.
</t>
    </r>
    <r>
      <rPr>
        <sz val="10"/>
        <color theme="1"/>
        <rFont val="Wingdings"/>
        <family val="2"/>
        <charset val="2"/>
      </rPr>
      <t></t>
    </r>
    <r>
      <rPr>
        <sz val="10"/>
        <color theme="1"/>
        <rFont val="맑은 고딕"/>
        <family val="2"/>
        <charset val="129"/>
        <scheme val="minor"/>
      </rPr>
      <t>위험성평가담당자는 사전에 전체 TBM 담당자에게 예정된 작업별 주요 유해·위험요인 및 주의·준수사항 등 TBM 내용을 전파한다.</t>
    </r>
    <phoneticPr fontId="1" type="noConversion"/>
  </si>
  <si>
    <t>사전준비</t>
  </si>
  <si>
    <t>작업 전일</t>
  </si>
  <si>
    <t>⇨</t>
  </si>
  <si>
    <t>작업 당일</t>
  </si>
  <si>
    <t>~18:00</t>
  </si>
  <si>
    <t>07:00~07:03</t>
  </si>
  <si>
    <t>(3min)</t>
  </si>
  <si>
    <t>위험성평가 결과 정리</t>
  </si>
  <si>
    <t>TBM 리더 숙지</t>
  </si>
  <si>
    <t>근로자 상호 체크</t>
  </si>
  <si>
    <t>실행과정(10min)</t>
    <phoneticPr fontId="1" type="noConversion"/>
  </si>
  <si>
    <t>환류조치</t>
    <phoneticPr fontId="1" type="noConversion"/>
  </si>
  <si>
    <t>- 건강상태
- 개인보호구 착용 상</t>
    <phoneticPr fontId="1" type="noConversion"/>
  </si>
  <si>
    <t>- 위험성평가 내용 공유
- 추가 위험요인 의견제시</t>
    <phoneticPr fontId="1" type="noConversion"/>
  </si>
  <si>
    <t>- 전 근로자 숙지여부 확인
- 해당사항 구호복창</t>
    <phoneticPr fontId="1" type="noConversion"/>
  </si>
  <si>
    <t>- 문제점 취합
- 결과 피드백
- 기록 보관</t>
    <phoneticPr fontId="1" type="noConversion"/>
  </si>
  <si>
    <t>17:00~18:00</t>
    <phoneticPr fontId="1" type="noConversion"/>
  </si>
  <si>
    <t>07:08~07:10</t>
    <phoneticPr fontId="1" type="noConversion"/>
  </si>
  <si>
    <t>07:03~07:08</t>
    <phoneticPr fontId="1" type="noConversion"/>
  </si>
  <si>
    <t>(5min)</t>
    <phoneticPr fontId="1" type="noConversion"/>
  </si>
  <si>
    <t>(2min)</t>
    <phoneticPr fontId="1" type="noConversion"/>
  </si>
  <si>
    <t>TBM 리더 중심
근로자 참여</t>
    <phoneticPr fontId="1" type="noConversion"/>
  </si>
  <si>
    <t>TBM 리더 중심
근로자 상호 체크</t>
    <phoneticPr fontId="1" type="noConversion"/>
  </si>
  <si>
    <t>지속적인 관리</t>
    <phoneticPr fontId="1" type="noConversion"/>
  </si>
  <si>
    <t>TBM 운영절차</t>
    <phoneticPr fontId="1" type="noConversion"/>
  </si>
  <si>
    <t>결</t>
    <phoneticPr fontId="1" type="noConversion"/>
  </si>
  <si>
    <t>담 당</t>
    <phoneticPr fontId="1" type="noConversion"/>
  </si>
  <si>
    <t>관리감독자</t>
    <phoneticPr fontId="1" type="noConversion"/>
  </si>
  <si>
    <t>점</t>
    <phoneticPr fontId="1" type="noConversion"/>
  </si>
  <si>
    <t>공사감리자</t>
    <phoneticPr fontId="1" type="noConversion"/>
  </si>
  <si>
    <t>작성일</t>
    <phoneticPr fontId="1" type="noConversion"/>
  </si>
  <si>
    <t>재</t>
    <phoneticPr fontId="1" type="noConversion"/>
  </si>
  <si>
    <t>검</t>
    <phoneticPr fontId="1" type="noConversion"/>
  </si>
  <si>
    <t>예방대책</t>
    <phoneticPr fontId="1" type="noConversion"/>
  </si>
  <si>
    <t>개선후
위험성</t>
    <phoneticPr fontId="1" type="noConversion"/>
  </si>
  <si>
    <t>이행담당
(하도급사)</t>
    <phoneticPr fontId="1" type="noConversion"/>
  </si>
  <si>
    <t>수준</t>
    <phoneticPr fontId="1" type="noConversion"/>
  </si>
  <si>
    <t>개선예정일
(완료일)</t>
    <phoneticPr fontId="1" type="noConversion"/>
  </si>
  <si>
    <t>이행담당</t>
    <phoneticPr fontId="1" type="noConversion"/>
  </si>
  <si>
    <t>재해유발요인</t>
    <phoneticPr fontId="1" type="noConversion"/>
  </si>
  <si>
    <t>기인물</t>
    <phoneticPr fontId="1" type="noConversion"/>
  </si>
  <si>
    <t>위 험 성 평 가 [ 최 초 ]</t>
    <phoneticPr fontId="1" type="noConversion"/>
  </si>
  <si>
    <t>해당공정</t>
    <phoneticPr fontId="1" type="noConversion"/>
  </si>
  <si>
    <t>위험성</t>
    <phoneticPr fontId="1" type="noConversion"/>
  </si>
  <si>
    <t>공종분류</t>
    <phoneticPr fontId="1" type="noConversion"/>
  </si>
  <si>
    <t>단위작업</t>
    <phoneticPr fontId="1" type="noConversion"/>
  </si>
  <si>
    <t>위 험 성 평 가 표 [ 최 초 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</si>
</sst>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36"/>
      <color theme="1"/>
      <name val="맑은 고딕"/>
      <family val="2"/>
      <charset val="129"/>
      <scheme val="minor"/>
    </font>
    <font>
      <sz val="16"/>
      <color theme="1" tint="0.499984740745262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한컴 고딕"/>
      <family val="3"/>
      <charset val="129"/>
    </font>
    <font>
      <sz val="6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2" tint="-9.9948118533890809E-2"/>
      <name val="맑은 고딕"/>
      <family val="3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Segoe UI Symbol"/>
      <family val="2"/>
    </font>
    <font>
      <sz val="11"/>
      <color rgb="FF000000"/>
      <name val="맑은 고딕"/>
      <family val="3"/>
      <charset val="2"/>
      <scheme val="minor"/>
    </font>
    <font>
      <sz val="11"/>
      <color rgb="FF000000"/>
      <name val="Wingdings"/>
      <family val="3"/>
      <charset val="2"/>
    </font>
    <font>
      <sz val="11"/>
      <color rgb="FF000000"/>
      <name val="Calibri"/>
      <family val="3"/>
    </font>
    <font>
      <sz val="10"/>
      <color theme="1"/>
      <name val="Noto Sans KR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color theme="1"/>
      <name val="Wingdings"/>
      <family val="3"/>
      <charset val="2"/>
    </font>
    <font>
      <sz val="10"/>
      <color theme="1"/>
      <name val="맑은 고딕"/>
      <family val="3"/>
      <charset val="2"/>
      <scheme val="major"/>
    </font>
    <font>
      <sz val="10"/>
      <color theme="1"/>
      <name val="맑은 고딕"/>
      <family val="2"/>
      <charset val="2"/>
      <scheme val="minor"/>
    </font>
    <font>
      <sz val="14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7E9F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AF3DB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5" fillId="0" borderId="24" xfId="0" applyFont="1" applyBorder="1" applyAlignment="1">
      <alignment vertical="center" wrapText="1"/>
    </xf>
    <xf numFmtId="0" fontId="0" fillId="0" borderId="25" xfId="0" applyBorder="1">
      <alignment vertical="center"/>
    </xf>
    <xf numFmtId="0" fontId="8" fillId="0" borderId="0" xfId="0" applyFont="1" applyAlignment="1">
      <alignment horizontal="center" vertical="center" wrapText="1"/>
    </xf>
    <xf numFmtId="14" fontId="0" fillId="0" borderId="0" xfId="0" applyNumberForma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0" fillId="6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10" fillId="6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5" fillId="0" borderId="16" xfId="0" quotePrefix="1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31" fillId="0" borderId="15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30" fillId="0" borderId="15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9" fillId="2" borderId="23" xfId="0" applyFont="1" applyFill="1" applyBorder="1" applyAlignment="1">
      <alignment horizontal="distributed" vertical="center" wrapText="1" indent="2"/>
    </xf>
    <xf numFmtId="0" fontId="9" fillId="2" borderId="24" xfId="0" applyFont="1" applyFill="1" applyBorder="1" applyAlignment="1">
      <alignment horizontal="distributed" vertical="center" wrapText="1" indent="2"/>
    </xf>
    <xf numFmtId="0" fontId="9" fillId="2" borderId="19" xfId="0" applyFont="1" applyFill="1" applyBorder="1" applyAlignment="1">
      <alignment horizontal="distributed" vertical="center" wrapText="1" indent="2"/>
    </xf>
    <xf numFmtId="0" fontId="9" fillId="2" borderId="26" xfId="0" applyFont="1" applyFill="1" applyBorder="1" applyAlignment="1">
      <alignment horizontal="distributed" vertical="center" wrapText="1" indent="2"/>
    </xf>
    <xf numFmtId="0" fontId="9" fillId="2" borderId="0" xfId="0" applyFont="1" applyFill="1" applyAlignment="1">
      <alignment horizontal="distributed" vertical="center" wrapText="1" indent="2"/>
    </xf>
    <xf numFmtId="0" fontId="9" fillId="2" borderId="20" xfId="0" applyFont="1" applyFill="1" applyBorder="1" applyAlignment="1">
      <alignment horizontal="distributed" vertical="center" wrapText="1" indent="2"/>
    </xf>
    <xf numFmtId="0" fontId="9" fillId="2" borderId="27" xfId="0" applyFont="1" applyFill="1" applyBorder="1" applyAlignment="1">
      <alignment horizontal="distributed" vertical="center" wrapText="1" indent="2"/>
    </xf>
    <xf numFmtId="0" fontId="9" fillId="2" borderId="25" xfId="0" applyFont="1" applyFill="1" applyBorder="1" applyAlignment="1">
      <alignment horizontal="distributed" vertical="center" wrapText="1" indent="2"/>
    </xf>
    <xf numFmtId="0" fontId="9" fillId="2" borderId="21" xfId="0" applyFont="1" applyFill="1" applyBorder="1" applyAlignment="1">
      <alignment horizontal="distributed" vertical="center" wrapText="1" indent="2"/>
    </xf>
    <xf numFmtId="0" fontId="5" fillId="2" borderId="22" xfId="0" applyFont="1" applyFill="1" applyBorder="1" applyAlignment="1">
      <alignment horizontal="distributed" vertical="center" wrapText="1" indent="2"/>
    </xf>
    <xf numFmtId="0" fontId="5" fillId="2" borderId="28" xfId="0" applyFont="1" applyFill="1" applyBorder="1" applyAlignment="1">
      <alignment horizontal="distributed" vertical="center" wrapText="1" indent="2"/>
    </xf>
    <xf numFmtId="0" fontId="5" fillId="2" borderId="29" xfId="0" applyFont="1" applyFill="1" applyBorder="1" applyAlignment="1">
      <alignment horizontal="distributed" vertical="center" wrapText="1" indent="2"/>
    </xf>
    <xf numFmtId="14" fontId="22" fillId="0" borderId="22" xfId="0" applyNumberFormat="1" applyFont="1" applyBorder="1" applyAlignment="1">
      <alignment horizontal="left" vertical="center" wrapText="1"/>
    </xf>
    <xf numFmtId="14" fontId="9" fillId="0" borderId="22" xfId="0" applyNumberFormat="1" applyFont="1" applyBorder="1" applyAlignment="1">
      <alignment horizontal="left" vertical="center" wrapText="1"/>
    </xf>
    <xf numFmtId="14" fontId="9" fillId="0" borderId="28" xfId="0" applyNumberFormat="1" applyFont="1" applyBorder="1" applyAlignment="1">
      <alignment horizontal="left" vertical="center" wrapText="1"/>
    </xf>
    <xf numFmtId="14" fontId="9" fillId="0" borderId="29" xfId="0" applyNumberFormat="1" applyFont="1" applyBorder="1" applyAlignment="1">
      <alignment horizontal="left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distributed" vertical="center" wrapText="1" indent="2"/>
    </xf>
    <xf numFmtId="0" fontId="5" fillId="2" borderId="24" xfId="0" applyFont="1" applyFill="1" applyBorder="1" applyAlignment="1">
      <alignment horizontal="distributed" vertical="center" wrapText="1" indent="2"/>
    </xf>
    <xf numFmtId="0" fontId="5" fillId="2" borderId="19" xfId="0" applyFont="1" applyFill="1" applyBorder="1" applyAlignment="1">
      <alignment horizontal="distributed" vertical="center" wrapText="1" indent="2"/>
    </xf>
    <xf numFmtId="0" fontId="5" fillId="2" borderId="26" xfId="0" applyFont="1" applyFill="1" applyBorder="1" applyAlignment="1">
      <alignment horizontal="distributed" vertical="center" wrapText="1" indent="2"/>
    </xf>
    <xf numFmtId="0" fontId="5" fillId="2" borderId="0" xfId="0" applyFont="1" applyFill="1" applyAlignment="1">
      <alignment horizontal="distributed" vertical="center" wrapText="1" indent="2"/>
    </xf>
    <xf numFmtId="0" fontId="5" fillId="2" borderId="20" xfId="0" applyFont="1" applyFill="1" applyBorder="1" applyAlignment="1">
      <alignment horizontal="distributed" vertical="center" wrapText="1" indent="2"/>
    </xf>
    <xf numFmtId="0" fontId="5" fillId="2" borderId="27" xfId="0" applyFont="1" applyFill="1" applyBorder="1" applyAlignment="1">
      <alignment horizontal="distributed" vertical="center" wrapText="1" indent="2"/>
    </xf>
    <xf numFmtId="0" fontId="5" fillId="2" borderId="25" xfId="0" applyFont="1" applyFill="1" applyBorder="1" applyAlignment="1">
      <alignment horizontal="distributed" vertical="center" wrapText="1" indent="2"/>
    </xf>
    <xf numFmtId="0" fontId="5" fillId="2" borderId="21" xfId="0" applyFont="1" applyFill="1" applyBorder="1" applyAlignment="1">
      <alignment horizontal="distributed" vertical="center" wrapText="1" indent="2"/>
    </xf>
    <xf numFmtId="0" fontId="13" fillId="4" borderId="15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2" borderId="13" xfId="0" applyFont="1" applyFill="1" applyBorder="1" applyAlignment="1">
      <alignment horizontal="distributed" vertical="center" wrapText="1" indent="2"/>
    </xf>
    <xf numFmtId="0" fontId="5" fillId="2" borderId="14" xfId="0" applyFont="1" applyFill="1" applyBorder="1" applyAlignment="1">
      <alignment horizontal="distributed" vertical="center" wrapText="1" indent="2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distributed" vertical="center" wrapText="1" indent="2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14" fontId="5" fillId="0" borderId="4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distributed" vertical="center" wrapText="1" indent="2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2" fillId="0" borderId="16" xfId="0" applyFont="1" applyBorder="1" applyAlignment="1">
      <alignment horizontal="center" vertical="center" wrapText="1" shrinkToFit="1"/>
    </xf>
    <xf numFmtId="0" fontId="32" fillId="0" borderId="17" xfId="0" applyFont="1" applyBorder="1" applyAlignment="1">
      <alignment horizontal="center" vertical="center" wrapText="1" shrinkToFit="1"/>
    </xf>
    <xf numFmtId="0" fontId="32" fillId="0" borderId="18" xfId="0" applyFont="1" applyBorder="1" applyAlignment="1">
      <alignment horizontal="center" vertical="center" wrapText="1" shrinkToFit="1"/>
    </xf>
    <xf numFmtId="0" fontId="32" fillId="0" borderId="15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 wrapText="1"/>
    </xf>
    <xf numFmtId="0" fontId="32" fillId="0" borderId="26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0" borderId="20" xfId="0" applyFont="1" applyBorder="1" applyAlignment="1">
      <alignment horizontal="left" vertical="center" wrapText="1"/>
    </xf>
    <xf numFmtId="0" fontId="32" fillId="0" borderId="27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left" vertical="center" shrinkToFit="1"/>
    </xf>
    <xf numFmtId="0" fontId="32" fillId="0" borderId="34" xfId="0" applyFont="1" applyBorder="1" applyAlignment="1">
      <alignment horizontal="left" vertical="center" shrinkToFit="1"/>
    </xf>
    <xf numFmtId="0" fontId="32" fillId="0" borderId="35" xfId="0" applyFont="1" applyBorder="1" applyAlignment="1">
      <alignment horizontal="left" vertical="center" shrinkToFit="1"/>
    </xf>
    <xf numFmtId="0" fontId="32" fillId="0" borderId="30" xfId="0" applyFont="1" applyBorder="1" applyAlignment="1">
      <alignment horizontal="left" vertical="center" shrinkToFit="1"/>
    </xf>
    <xf numFmtId="0" fontId="32" fillId="0" borderId="31" xfId="0" applyFont="1" applyBorder="1" applyAlignment="1">
      <alignment horizontal="left" vertical="center" shrinkToFit="1"/>
    </xf>
    <xf numFmtId="0" fontId="32" fillId="0" borderId="32" xfId="0" applyFont="1" applyBorder="1" applyAlignment="1">
      <alignment horizontal="left" vertical="center" shrinkToFit="1"/>
    </xf>
    <xf numFmtId="0" fontId="32" fillId="0" borderId="36" xfId="0" applyFont="1" applyBorder="1" applyAlignment="1">
      <alignment horizontal="left" vertical="center" wrapText="1"/>
    </xf>
    <xf numFmtId="0" fontId="32" fillId="0" borderId="37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2" fillId="0" borderId="16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14" fontId="32" fillId="0" borderId="16" xfId="0" applyNumberFormat="1" applyFont="1" applyBorder="1" applyAlignment="1">
      <alignment horizontal="center" vertical="center"/>
    </xf>
    <xf numFmtId="14" fontId="32" fillId="0" borderId="17" xfId="0" applyNumberFormat="1" applyFont="1" applyBorder="1" applyAlignment="1">
      <alignment horizontal="center" vertical="center"/>
    </xf>
    <xf numFmtId="14" fontId="32" fillId="0" borderId="18" xfId="0" applyNumberFormat="1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6EBE-50A0-48A2-9A37-07C1F3C7A555}">
  <dimension ref="A1:AN130"/>
  <sheetViews>
    <sheetView tabSelected="1" view="pageBreakPreview" zoomScale="115" zoomScaleNormal="100" zoomScaleSheetLayoutView="115" workbookViewId="0"/>
  </sheetViews>
  <sheetFormatPr defaultColWidth="5.625" defaultRowHeight="16.5" x14ac:dyDescent="0.3"/>
  <cols>
    <col min="26" max="26" width="11" bestFit="1" customWidth="1"/>
    <col min="27" max="27" width="11.125" bestFit="1" customWidth="1"/>
  </cols>
  <sheetData>
    <row r="1" spans="1:27" x14ac:dyDescent="0.3">
      <c r="Z1" t="s">
        <v>15</v>
      </c>
      <c r="AA1" t="s">
        <v>0</v>
      </c>
    </row>
    <row r="2" spans="1:27" x14ac:dyDescent="0.3">
      <c r="Z2" t="s">
        <v>16</v>
      </c>
      <c r="AA2" t="s">
        <v>1</v>
      </c>
    </row>
    <row r="3" spans="1:27" ht="16.5" customHeight="1" x14ac:dyDescent="0.3">
      <c r="A3" s="152" t="s">
        <v>108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Z3" t="s">
        <v>17</v>
      </c>
      <c r="AA3" t="s">
        <v>35</v>
      </c>
    </row>
    <row r="4" spans="1:27" ht="16.5" customHeight="1" x14ac:dyDescent="0.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Z4" t="s">
        <v>18</v>
      </c>
      <c r="AA4" s="22">
        <v>45658</v>
      </c>
    </row>
    <row r="5" spans="1:27" ht="16.5" customHeight="1" x14ac:dyDescent="0.3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</row>
    <row r="6" spans="1:27" ht="16.5" customHeight="1" x14ac:dyDescent="0.3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</row>
    <row r="7" spans="1:27" x14ac:dyDescent="0.3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</row>
    <row r="8" spans="1:27" x14ac:dyDescent="0.3">
      <c r="A8" s="152"/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</row>
    <row r="9" spans="1:27" x14ac:dyDescent="0.3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</row>
    <row r="10" spans="1:27" x14ac:dyDescent="0.3">
      <c r="A10" s="153" t="str">
        <f>"공 사 명 : "&amp;AA1</f>
        <v>공 사 명 : 123TEST공사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</row>
    <row r="11" spans="1:27" x14ac:dyDescent="0.3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</row>
    <row r="12" spans="1:27" x14ac:dyDescent="0.3">
      <c r="A12" s="153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</row>
    <row r="25" spans="1:22" x14ac:dyDescent="0.3">
      <c r="A25" s="154" t="str">
        <f>AA2</f>
        <v>주식회사 예조종합건설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</row>
    <row r="26" spans="1:22" x14ac:dyDescent="0.3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</row>
    <row r="27" spans="1:22" x14ac:dyDescent="0.3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</row>
    <row r="31" spans="1:22" ht="24.95" customHeight="1" x14ac:dyDescent="0.3"/>
    <row r="32" spans="1:22" ht="24.95" customHeight="1" x14ac:dyDescent="0.3">
      <c r="B32" s="5" t="s">
        <v>12</v>
      </c>
    </row>
    <row r="33" spans="1:22" ht="24.95" customHeight="1" x14ac:dyDescent="0.3">
      <c r="B33" s="57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9"/>
    </row>
    <row r="34" spans="1:22" ht="24.95" customHeight="1" x14ac:dyDescent="0.3"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2"/>
    </row>
    <row r="35" spans="1:22" ht="24.95" customHeight="1" x14ac:dyDescent="0.3"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2"/>
    </row>
    <row r="36" spans="1:22" ht="24.95" customHeight="1" x14ac:dyDescent="0.3"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2"/>
    </row>
    <row r="37" spans="1:22" ht="24.95" customHeight="1" x14ac:dyDescent="0.3"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2"/>
    </row>
    <row r="38" spans="1:22" ht="24.95" customHeight="1" x14ac:dyDescent="0.3"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2"/>
    </row>
    <row r="39" spans="1:22" ht="24.95" customHeight="1" x14ac:dyDescent="0.3"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2"/>
    </row>
    <row r="40" spans="1:22" ht="24.95" customHeight="1" x14ac:dyDescent="0.3"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1:22" ht="24.95" customHeight="1" x14ac:dyDescent="0.3"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2"/>
    </row>
    <row r="42" spans="1:22" ht="24.95" customHeight="1" x14ac:dyDescent="0.3">
      <c r="A42" s="1"/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2"/>
      <c r="V42" s="1"/>
    </row>
    <row r="43" spans="1:22" ht="24.95" customHeight="1" x14ac:dyDescent="0.3">
      <c r="A43" s="1"/>
      <c r="B43" s="63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5"/>
      <c r="V43" s="1"/>
    </row>
    <row r="44" spans="1:22" ht="24.95" customHeight="1" x14ac:dyDescent="0.3">
      <c r="A44" s="1"/>
      <c r="B44" s="158" t="s">
        <v>2</v>
      </c>
      <c r="C44" s="158"/>
      <c r="D44" s="158"/>
      <c r="E44" s="148"/>
      <c r="F44" s="149"/>
      <c r="G44" s="149"/>
      <c r="H44" s="149"/>
      <c r="I44" s="149"/>
      <c r="J44" s="149"/>
      <c r="K44" s="150"/>
      <c r="L44" s="158" t="s">
        <v>3</v>
      </c>
      <c r="M44" s="158"/>
      <c r="N44" s="158"/>
      <c r="O44" s="159"/>
      <c r="P44" s="159"/>
      <c r="Q44" s="159"/>
      <c r="R44" s="159"/>
      <c r="S44" s="159"/>
      <c r="T44" s="159"/>
      <c r="U44" s="159"/>
      <c r="V44" s="1"/>
    </row>
    <row r="45" spans="1:22" ht="24.95" customHeight="1" x14ac:dyDescent="0.3">
      <c r="B45" s="158" t="s">
        <v>4</v>
      </c>
      <c r="C45" s="158"/>
      <c r="D45" s="158"/>
      <c r="E45" s="155" t="str">
        <f>AA1</f>
        <v>123TEST공사</v>
      </c>
      <c r="F45" s="156"/>
      <c r="G45" s="156"/>
      <c r="H45" s="156"/>
      <c r="I45" s="156"/>
      <c r="J45" s="156"/>
      <c r="K45" s="157"/>
      <c r="L45" s="158" t="s">
        <v>5</v>
      </c>
      <c r="M45" s="158"/>
      <c r="N45" s="158"/>
      <c r="O45" s="160"/>
      <c r="P45" s="160"/>
      <c r="Q45" s="160"/>
      <c r="R45" s="160"/>
      <c r="S45" s="160"/>
      <c r="T45" s="160"/>
      <c r="U45" s="160"/>
    </row>
    <row r="46" spans="1:22" ht="24.95" customHeight="1" x14ac:dyDescent="0.3">
      <c r="B46" s="158" t="s">
        <v>6</v>
      </c>
      <c r="C46" s="158"/>
      <c r="D46" s="158"/>
      <c r="E46" s="148"/>
      <c r="F46" s="149"/>
      <c r="G46" s="149"/>
      <c r="H46" s="149"/>
      <c r="I46" s="149"/>
      <c r="J46" s="149"/>
      <c r="K46" s="150"/>
      <c r="L46" s="158" t="s">
        <v>7</v>
      </c>
      <c r="M46" s="158"/>
      <c r="N46" s="158"/>
      <c r="O46" s="160"/>
      <c r="P46" s="160"/>
      <c r="Q46" s="160"/>
      <c r="R46" s="160"/>
      <c r="S46" s="160"/>
      <c r="T46" s="160"/>
      <c r="U46" s="160"/>
    </row>
    <row r="47" spans="1:22" ht="24.95" customHeight="1" x14ac:dyDescent="0.3">
      <c r="B47" s="158" t="s">
        <v>8</v>
      </c>
      <c r="C47" s="158"/>
      <c r="D47" s="158"/>
      <c r="E47" s="148"/>
      <c r="F47" s="149"/>
      <c r="G47" s="149"/>
      <c r="H47" s="149"/>
      <c r="I47" s="149"/>
      <c r="J47" s="149"/>
      <c r="K47" s="150"/>
      <c r="L47" s="158" t="s">
        <v>9</v>
      </c>
      <c r="M47" s="158"/>
      <c r="N47" s="158"/>
      <c r="O47" s="160"/>
      <c r="P47" s="160"/>
      <c r="Q47" s="160"/>
      <c r="R47" s="160"/>
      <c r="S47" s="160"/>
      <c r="T47" s="160"/>
      <c r="U47" s="160"/>
    </row>
    <row r="48" spans="1:22" ht="24.95" customHeight="1" x14ac:dyDescent="0.3">
      <c r="B48" s="158" t="s">
        <v>10</v>
      </c>
      <c r="C48" s="158"/>
      <c r="D48" s="158"/>
      <c r="E48" s="148"/>
      <c r="F48" s="149"/>
      <c r="G48" s="149"/>
      <c r="H48" s="149"/>
      <c r="I48" s="149"/>
      <c r="J48" s="149"/>
      <c r="K48" s="150"/>
      <c r="L48" s="158" t="s">
        <v>11</v>
      </c>
      <c r="M48" s="158"/>
      <c r="N48" s="158"/>
      <c r="O48" s="160"/>
      <c r="P48" s="160"/>
      <c r="Q48" s="160"/>
      <c r="R48" s="160"/>
      <c r="S48" s="160"/>
      <c r="T48" s="160"/>
      <c r="U48" s="160"/>
    </row>
    <row r="49" spans="2:33" ht="24.95" customHeight="1" x14ac:dyDescent="0.3"/>
    <row r="50" spans="2:33" ht="24.95" customHeight="1" x14ac:dyDescent="0.3"/>
    <row r="51" spans="2:33" ht="24.95" customHeight="1" x14ac:dyDescent="0.3">
      <c r="B51" s="5" t="s">
        <v>13</v>
      </c>
    </row>
    <row r="52" spans="2:33" ht="24.95" customHeight="1" x14ac:dyDescent="0.3">
      <c r="B52" s="147" t="s">
        <v>14</v>
      </c>
      <c r="C52" s="147"/>
      <c r="D52" s="147"/>
      <c r="E52" s="148" t="str">
        <f>AA1</f>
        <v>123TEST공사</v>
      </c>
      <c r="F52" s="149"/>
      <c r="G52" s="149"/>
      <c r="H52" s="149"/>
      <c r="I52" s="149"/>
      <c r="J52" s="149"/>
      <c r="K52" s="150"/>
      <c r="L52" s="142" t="s">
        <v>19</v>
      </c>
      <c r="M52" s="142"/>
      <c r="N52" s="142"/>
      <c r="O52" s="143" t="s">
        <v>21</v>
      </c>
      <c r="P52" s="143"/>
      <c r="Q52" s="143" t="s">
        <v>22</v>
      </c>
      <c r="R52" s="143"/>
      <c r="S52" s="143" t="s">
        <v>23</v>
      </c>
      <c r="T52" s="143"/>
    </row>
    <row r="53" spans="2:33" ht="24.95" customHeight="1" x14ac:dyDescent="0.3">
      <c r="B53" s="147" t="s">
        <v>20</v>
      </c>
      <c r="C53" s="147"/>
      <c r="D53" s="147"/>
      <c r="E53" s="151">
        <f>AA4</f>
        <v>45658</v>
      </c>
      <c r="F53" s="149"/>
      <c r="G53" s="149"/>
      <c r="H53" s="149"/>
      <c r="I53" s="149"/>
      <c r="J53" s="149"/>
      <c r="K53" s="150"/>
      <c r="L53" s="142"/>
      <c r="M53" s="142"/>
      <c r="N53" s="142"/>
      <c r="O53" s="144" t="s">
        <v>34</v>
      </c>
      <c r="P53" s="145"/>
      <c r="Q53" s="145" t="s">
        <v>34</v>
      </c>
      <c r="R53" s="145"/>
      <c r="S53" s="146" t="str">
        <f>AA3</f>
        <v>예시현장소장</v>
      </c>
      <c r="T53" s="146"/>
    </row>
    <row r="54" spans="2:33" ht="24.95" customHeight="1" x14ac:dyDescent="0.3">
      <c r="B54" s="140" t="s">
        <v>24</v>
      </c>
      <c r="C54" s="140"/>
      <c r="D54" s="140"/>
      <c r="E54" s="138" t="s">
        <v>27</v>
      </c>
      <c r="F54" s="138"/>
      <c r="G54" s="138"/>
      <c r="H54" s="138"/>
      <c r="I54" s="138"/>
      <c r="J54" s="138"/>
      <c r="K54" s="138"/>
      <c r="L54" s="140" t="s">
        <v>25</v>
      </c>
      <c r="M54" s="140"/>
      <c r="N54" s="140"/>
      <c r="O54" s="127" t="s">
        <v>26</v>
      </c>
      <c r="P54" s="128"/>
      <c r="Q54" s="128"/>
      <c r="R54" s="128"/>
      <c r="S54" s="128"/>
      <c r="T54" s="129"/>
      <c r="U54" s="3"/>
    </row>
    <row r="55" spans="2:33" ht="27" customHeight="1" x14ac:dyDescent="0.3">
      <c r="B55" s="141"/>
      <c r="C55" s="141"/>
      <c r="D55" s="141"/>
      <c r="E55" s="139"/>
      <c r="F55" s="139"/>
      <c r="G55" s="139"/>
      <c r="H55" s="139"/>
      <c r="I55" s="139"/>
      <c r="J55" s="139"/>
      <c r="K55" s="139"/>
      <c r="L55" s="141"/>
      <c r="M55" s="141"/>
      <c r="N55" s="141"/>
      <c r="O55" s="130"/>
      <c r="P55" s="131"/>
      <c r="Q55" s="131"/>
      <c r="R55" s="131"/>
      <c r="S55" s="131"/>
      <c r="T55" s="132"/>
      <c r="U55" s="3"/>
      <c r="AE55" s="136"/>
      <c r="AF55" s="136"/>
      <c r="AG55" s="136"/>
    </row>
    <row r="56" spans="2:33" ht="12.6" customHeight="1" x14ac:dyDescent="0.3">
      <c r="AE56" s="136"/>
      <c r="AF56" s="136"/>
      <c r="AG56" s="136"/>
    </row>
    <row r="57" spans="2:33" ht="12.6" customHeight="1" x14ac:dyDescent="0.3">
      <c r="B57" s="112" t="s">
        <v>45</v>
      </c>
      <c r="C57" s="113"/>
      <c r="D57" s="11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4"/>
      <c r="AE57" s="21"/>
      <c r="AF57" s="21"/>
      <c r="AG57" s="21"/>
    </row>
    <row r="58" spans="2:33" ht="24.95" customHeight="1" x14ac:dyDescent="0.3">
      <c r="B58" s="115"/>
      <c r="C58" s="116"/>
      <c r="D58" s="117"/>
      <c r="K58" s="133" t="s">
        <v>28</v>
      </c>
      <c r="L58" s="133"/>
      <c r="M58" s="133"/>
      <c r="N58" s="133"/>
      <c r="T58" s="10"/>
      <c r="AE58" s="136"/>
      <c r="AF58" s="33"/>
      <c r="AG58" s="33"/>
    </row>
    <row r="59" spans="2:33" ht="24.95" customHeight="1" x14ac:dyDescent="0.3">
      <c r="B59" s="115"/>
      <c r="C59" s="116"/>
      <c r="D59" s="117"/>
      <c r="K59" s="122" t="s">
        <v>29</v>
      </c>
      <c r="L59" s="122"/>
      <c r="M59" s="122"/>
      <c r="N59" s="122"/>
      <c r="T59" s="10"/>
      <c r="AE59" s="136"/>
      <c r="AF59" s="33"/>
      <c r="AG59" s="33"/>
    </row>
    <row r="60" spans="2:33" ht="24.95" customHeight="1" x14ac:dyDescent="0.3">
      <c r="B60" s="115"/>
      <c r="C60" s="116"/>
      <c r="D60" s="117"/>
      <c r="K60" s="8" t="s">
        <v>30</v>
      </c>
      <c r="L60" s="134" t="str">
        <f>AA3</f>
        <v>예시현장소장</v>
      </c>
      <c r="M60" s="134"/>
      <c r="N60" s="134"/>
      <c r="T60" s="10"/>
      <c r="AC60" s="136"/>
      <c r="AD60" s="23"/>
      <c r="AE60" s="2"/>
      <c r="AF60" s="33"/>
      <c r="AG60" s="33"/>
    </row>
    <row r="61" spans="2:33" ht="24.95" customHeight="1" x14ac:dyDescent="0.3">
      <c r="B61" s="115"/>
      <c r="C61" s="116"/>
      <c r="D61" s="117"/>
      <c r="J61" s="4"/>
      <c r="K61" s="19"/>
      <c r="L61" s="9"/>
      <c r="M61" s="4"/>
      <c r="P61" s="121" t="s">
        <v>31</v>
      </c>
      <c r="Q61" s="122"/>
      <c r="R61" s="122"/>
      <c r="S61" s="122"/>
      <c r="T61" s="10"/>
      <c r="AC61" s="136"/>
      <c r="AD61" s="23"/>
      <c r="AE61" s="23"/>
      <c r="AF61" s="33"/>
      <c r="AG61" s="33"/>
    </row>
    <row r="62" spans="2:33" ht="24.95" customHeight="1" x14ac:dyDescent="0.3">
      <c r="B62" s="115"/>
      <c r="C62" s="116"/>
      <c r="D62" s="117"/>
      <c r="L62" s="10"/>
      <c r="M62" s="13"/>
      <c r="N62" s="13"/>
      <c r="O62" s="14"/>
      <c r="P62" s="8" t="s">
        <v>30</v>
      </c>
      <c r="Q62" s="43"/>
      <c r="R62" s="137"/>
      <c r="S62" s="44"/>
      <c r="T62" s="10"/>
      <c r="AA62" s="7"/>
      <c r="AC62" s="6"/>
      <c r="AD62" s="23"/>
      <c r="AE62" s="21"/>
      <c r="AF62" s="2"/>
      <c r="AG62" s="21"/>
    </row>
    <row r="63" spans="2:33" ht="24.95" customHeight="1" x14ac:dyDescent="0.3">
      <c r="B63" s="115"/>
      <c r="C63" s="116"/>
      <c r="D63" s="117"/>
      <c r="L63" s="11"/>
      <c r="P63" s="2"/>
      <c r="Q63" s="2"/>
      <c r="R63" s="2"/>
      <c r="S63" s="2"/>
      <c r="T63" s="10"/>
      <c r="AA63" s="7"/>
      <c r="AC63" s="6"/>
      <c r="AD63" s="23"/>
      <c r="AE63" s="21"/>
      <c r="AF63" s="2"/>
      <c r="AG63" s="21"/>
    </row>
    <row r="64" spans="2:33" ht="24.95" customHeight="1" x14ac:dyDescent="0.3">
      <c r="B64" s="115"/>
      <c r="C64" s="116"/>
      <c r="D64" s="117"/>
      <c r="H64" s="12"/>
      <c r="I64" s="13"/>
      <c r="J64" s="13"/>
      <c r="K64" s="18"/>
      <c r="L64" s="15"/>
      <c r="M64" s="13"/>
      <c r="N64" s="13"/>
      <c r="O64" s="13"/>
      <c r="P64" s="16"/>
      <c r="Q64" s="17"/>
      <c r="R64" s="2"/>
      <c r="S64" s="2"/>
      <c r="T64" s="10"/>
      <c r="AA64" s="7"/>
      <c r="AC64" s="6"/>
      <c r="AD64" s="23"/>
      <c r="AE64" s="21"/>
      <c r="AF64" s="2"/>
      <c r="AG64" s="21"/>
    </row>
    <row r="65" spans="2:33" ht="24.95" customHeight="1" x14ac:dyDescent="0.3">
      <c r="B65" s="115"/>
      <c r="C65" s="116"/>
      <c r="D65" s="117"/>
      <c r="F65" s="121" t="s">
        <v>33</v>
      </c>
      <c r="G65" s="122"/>
      <c r="H65" s="122"/>
      <c r="I65" s="122"/>
      <c r="K65" s="121" t="s">
        <v>33</v>
      </c>
      <c r="L65" s="122"/>
      <c r="M65" s="122"/>
      <c r="N65" s="122"/>
      <c r="P65" s="121" t="s">
        <v>33</v>
      </c>
      <c r="Q65" s="122"/>
      <c r="R65" s="122"/>
      <c r="S65" s="122"/>
      <c r="T65" s="10"/>
      <c r="AC65" s="21"/>
      <c r="AD65" s="24"/>
      <c r="AE65" s="6"/>
      <c r="AF65" s="21"/>
      <c r="AG65" s="6"/>
    </row>
    <row r="66" spans="2:33" ht="24.95" customHeight="1" x14ac:dyDescent="0.3">
      <c r="B66" s="115"/>
      <c r="C66" s="116"/>
      <c r="D66" s="117"/>
      <c r="F66" s="8" t="s">
        <v>30</v>
      </c>
      <c r="G66" s="123" t="s">
        <v>34</v>
      </c>
      <c r="H66" s="124"/>
      <c r="I66" s="125"/>
      <c r="K66" s="8" t="s">
        <v>30</v>
      </c>
      <c r="L66" s="123" t="s">
        <v>34</v>
      </c>
      <c r="M66" s="124"/>
      <c r="N66" s="125"/>
      <c r="P66" s="8" t="s">
        <v>30</v>
      </c>
      <c r="Q66" s="123" t="s">
        <v>34</v>
      </c>
      <c r="R66" s="124"/>
      <c r="S66" s="125"/>
      <c r="T66" s="10"/>
      <c r="AC66" s="33"/>
      <c r="AD66" s="33"/>
      <c r="AE66" s="136"/>
      <c r="AF66" s="33"/>
      <c r="AG66" s="33"/>
    </row>
    <row r="67" spans="2:33" ht="24.95" customHeight="1" x14ac:dyDescent="0.3">
      <c r="B67" s="115"/>
      <c r="C67" s="116"/>
      <c r="D67" s="117"/>
      <c r="G67" s="15"/>
      <c r="L67" s="15"/>
      <c r="Q67" s="15"/>
      <c r="T67" s="10"/>
      <c r="AC67" s="135"/>
      <c r="AD67" s="135"/>
      <c r="AE67" s="136"/>
      <c r="AF67" s="135"/>
      <c r="AG67" s="135"/>
    </row>
    <row r="68" spans="2:33" ht="24.95" customHeight="1" x14ac:dyDescent="0.3">
      <c r="B68" s="115"/>
      <c r="C68" s="116"/>
      <c r="D68" s="117"/>
      <c r="F68" s="121" t="s">
        <v>32</v>
      </c>
      <c r="G68" s="122"/>
      <c r="H68" s="122"/>
      <c r="I68" s="122"/>
      <c r="K68" s="121" t="s">
        <v>32</v>
      </c>
      <c r="L68" s="122"/>
      <c r="M68" s="122"/>
      <c r="N68" s="122"/>
      <c r="P68" s="121" t="s">
        <v>32</v>
      </c>
      <c r="Q68" s="122"/>
      <c r="R68" s="122"/>
      <c r="S68" s="122"/>
      <c r="T68" s="10"/>
      <c r="AC68" s="21"/>
      <c r="AD68" s="21"/>
      <c r="AE68" s="21"/>
      <c r="AF68" s="21"/>
      <c r="AG68" s="21"/>
    </row>
    <row r="69" spans="2:33" ht="25.5" customHeight="1" x14ac:dyDescent="0.3">
      <c r="B69" s="115"/>
      <c r="C69" s="116"/>
      <c r="D69" s="117"/>
      <c r="F69" s="16"/>
      <c r="G69" s="111"/>
      <c r="H69" s="111"/>
      <c r="I69" s="111"/>
      <c r="K69" s="16"/>
      <c r="L69" s="111"/>
      <c r="M69" s="111"/>
      <c r="N69" s="111"/>
      <c r="P69" s="16"/>
      <c r="Q69" s="111"/>
      <c r="R69" s="111"/>
      <c r="S69" s="111"/>
      <c r="T69" s="10"/>
      <c r="AC69" s="126"/>
      <c r="AD69" s="126"/>
      <c r="AE69" s="21"/>
      <c r="AF69" s="126"/>
      <c r="AG69" s="126"/>
    </row>
    <row r="70" spans="2:33" ht="12.6" customHeight="1" x14ac:dyDescent="0.3">
      <c r="B70" s="118"/>
      <c r="C70" s="119"/>
      <c r="D70" s="1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11"/>
      <c r="AC70" s="2"/>
      <c r="AD70" s="2"/>
      <c r="AE70" s="6"/>
      <c r="AF70" s="2"/>
      <c r="AG70" s="2"/>
    </row>
    <row r="71" spans="2:33" ht="24.95" customHeight="1" x14ac:dyDescent="0.3">
      <c r="AC71" s="21"/>
      <c r="AD71" s="24"/>
      <c r="AE71" s="25"/>
      <c r="AF71" s="21"/>
      <c r="AG71" s="6"/>
    </row>
    <row r="72" spans="2:33" ht="24.95" customHeight="1" x14ac:dyDescent="0.3">
      <c r="B72" s="86" t="s">
        <v>44</v>
      </c>
      <c r="C72" s="87"/>
      <c r="D72" s="88"/>
      <c r="E72" s="102" t="s">
        <v>36</v>
      </c>
      <c r="F72" s="103"/>
      <c r="G72" s="104"/>
      <c r="H72" s="77" t="s">
        <v>40</v>
      </c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9"/>
    </row>
    <row r="73" spans="2:33" ht="24.95" customHeight="1" x14ac:dyDescent="0.3">
      <c r="B73" s="89"/>
      <c r="C73" s="90"/>
      <c r="D73" s="91"/>
      <c r="E73" s="105"/>
      <c r="F73" s="106"/>
      <c r="G73" s="107"/>
      <c r="H73" s="83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5"/>
    </row>
    <row r="74" spans="2:33" ht="24.95" customHeight="1" x14ac:dyDescent="0.3">
      <c r="B74" s="89"/>
      <c r="C74" s="90"/>
      <c r="D74" s="91"/>
      <c r="E74" s="102" t="s">
        <v>37</v>
      </c>
      <c r="F74" s="103"/>
      <c r="G74" s="104"/>
      <c r="H74" s="77" t="s">
        <v>41</v>
      </c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9"/>
    </row>
    <row r="75" spans="2:33" ht="24.95" customHeight="1" x14ac:dyDescent="0.3">
      <c r="B75" s="89"/>
      <c r="C75" s="90"/>
      <c r="D75" s="91"/>
      <c r="E75" s="108"/>
      <c r="F75" s="109"/>
      <c r="G75" s="110"/>
      <c r="H75" s="80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2"/>
    </row>
    <row r="76" spans="2:33" ht="24.95" customHeight="1" x14ac:dyDescent="0.3">
      <c r="B76" s="89"/>
      <c r="C76" s="90"/>
      <c r="D76" s="91"/>
      <c r="E76" s="108"/>
      <c r="F76" s="109"/>
      <c r="G76" s="110"/>
      <c r="H76" s="80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2"/>
    </row>
    <row r="77" spans="2:33" ht="24.95" customHeight="1" x14ac:dyDescent="0.3">
      <c r="B77" s="89"/>
      <c r="C77" s="90"/>
      <c r="D77" s="91"/>
      <c r="E77" s="105"/>
      <c r="F77" s="106"/>
      <c r="G77" s="107"/>
      <c r="H77" s="83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5"/>
    </row>
    <row r="78" spans="2:33" ht="24.95" customHeight="1" x14ac:dyDescent="0.3">
      <c r="B78" s="89"/>
      <c r="C78" s="90"/>
      <c r="D78" s="91"/>
      <c r="E78" s="102" t="s">
        <v>38</v>
      </c>
      <c r="F78" s="103"/>
      <c r="G78" s="104"/>
      <c r="H78" s="77" t="s">
        <v>42</v>
      </c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9"/>
    </row>
    <row r="79" spans="2:33" ht="24.95" customHeight="1" x14ac:dyDescent="0.3">
      <c r="B79" s="89"/>
      <c r="C79" s="90"/>
      <c r="D79" s="91"/>
      <c r="E79" s="108"/>
      <c r="F79" s="109"/>
      <c r="G79" s="110"/>
      <c r="H79" s="80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</row>
    <row r="80" spans="2:33" ht="24.95" customHeight="1" x14ac:dyDescent="0.3">
      <c r="B80" s="89"/>
      <c r="C80" s="90"/>
      <c r="D80" s="91"/>
      <c r="E80" s="108"/>
      <c r="F80" s="109"/>
      <c r="G80" s="110"/>
      <c r="H80" s="80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2"/>
    </row>
    <row r="81" spans="2:27" ht="24.95" customHeight="1" x14ac:dyDescent="0.3">
      <c r="B81" s="89"/>
      <c r="C81" s="90"/>
      <c r="D81" s="91"/>
      <c r="E81" s="105"/>
      <c r="F81" s="106"/>
      <c r="G81" s="107"/>
      <c r="H81" s="83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5"/>
    </row>
    <row r="82" spans="2:27" ht="24.95" customHeight="1" x14ac:dyDescent="0.3">
      <c r="B82" s="89"/>
      <c r="C82" s="90"/>
      <c r="D82" s="91"/>
      <c r="E82" s="102" t="s">
        <v>39</v>
      </c>
      <c r="F82" s="103"/>
      <c r="G82" s="104"/>
      <c r="H82" s="77" t="s">
        <v>43</v>
      </c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9"/>
    </row>
    <row r="83" spans="2:27" ht="24.95" customHeight="1" x14ac:dyDescent="0.3">
      <c r="B83" s="89"/>
      <c r="C83" s="90"/>
      <c r="D83" s="91"/>
      <c r="E83" s="108"/>
      <c r="F83" s="109"/>
      <c r="G83" s="110"/>
      <c r="H83" s="80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2"/>
    </row>
    <row r="84" spans="2:27" ht="24.95" customHeight="1" x14ac:dyDescent="0.3">
      <c r="B84" s="92"/>
      <c r="C84" s="93"/>
      <c r="D84" s="94"/>
      <c r="E84" s="105"/>
      <c r="F84" s="106"/>
      <c r="G84" s="107"/>
      <c r="H84" s="83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5"/>
    </row>
    <row r="85" spans="2:27" ht="24.95" customHeight="1" x14ac:dyDescent="0.3"/>
    <row r="86" spans="2:27" ht="24.95" customHeight="1" x14ac:dyDescent="0.3">
      <c r="B86" s="95" t="s">
        <v>46</v>
      </c>
      <c r="C86" s="95"/>
      <c r="D86" s="95"/>
      <c r="E86" s="98" t="s">
        <v>52</v>
      </c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</row>
    <row r="87" spans="2:27" ht="24.95" customHeight="1" x14ac:dyDescent="0.3">
      <c r="B87" s="96"/>
      <c r="C87" s="96"/>
      <c r="D87" s="96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</row>
    <row r="88" spans="2:27" ht="24.95" customHeight="1" x14ac:dyDescent="0.3">
      <c r="B88" s="97"/>
      <c r="C88" s="97"/>
      <c r="D88" s="97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</row>
    <row r="89" spans="2:27" ht="24.95" customHeight="1" x14ac:dyDescent="0.3"/>
    <row r="90" spans="2:27" ht="24.95" customHeight="1" x14ac:dyDescent="0.3"/>
    <row r="91" spans="2:27" ht="24.95" customHeight="1" x14ac:dyDescent="0.3">
      <c r="B91" s="66" t="s">
        <v>46</v>
      </c>
      <c r="C91" s="66"/>
      <c r="D91" s="66"/>
      <c r="E91" s="67" t="s">
        <v>47</v>
      </c>
      <c r="F91" s="67"/>
      <c r="G91" s="67"/>
      <c r="H91" s="67" t="s">
        <v>48</v>
      </c>
      <c r="I91" s="67"/>
      <c r="J91" s="67"/>
      <c r="K91" s="67" t="s">
        <v>49</v>
      </c>
      <c r="L91" s="67"/>
      <c r="M91" s="67"/>
      <c r="N91" s="67"/>
      <c r="O91" s="67"/>
      <c r="P91" s="67"/>
      <c r="Q91" s="67"/>
      <c r="R91" s="67"/>
      <c r="S91" s="67"/>
      <c r="T91" s="67"/>
      <c r="U91" s="67"/>
    </row>
    <row r="92" spans="2:27" ht="24.95" customHeight="1" x14ac:dyDescent="0.3">
      <c r="B92" s="66"/>
      <c r="C92" s="66"/>
      <c r="D92" s="66"/>
      <c r="E92" s="68" t="s">
        <v>57</v>
      </c>
      <c r="F92" s="68"/>
      <c r="G92" s="68"/>
      <c r="H92" s="69" t="s">
        <v>50</v>
      </c>
      <c r="I92" s="69"/>
      <c r="J92" s="69"/>
      <c r="K92" s="70" t="s">
        <v>51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</row>
    <row r="93" spans="2:27" ht="24.95" customHeight="1" x14ac:dyDescent="0.3">
      <c r="B93" s="66"/>
      <c r="C93" s="66"/>
      <c r="D93" s="66"/>
      <c r="E93" s="68"/>
      <c r="F93" s="68"/>
      <c r="G93" s="68"/>
      <c r="H93" s="69"/>
      <c r="I93" s="69"/>
      <c r="J93" s="69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</row>
    <row r="94" spans="2:27" ht="24.95" customHeight="1" x14ac:dyDescent="0.3">
      <c r="B94" s="66"/>
      <c r="C94" s="66"/>
      <c r="D94" s="66"/>
      <c r="E94" s="68"/>
      <c r="F94" s="68"/>
      <c r="G94" s="68"/>
      <c r="H94" s="69"/>
      <c r="I94" s="69"/>
      <c r="J94" s="69"/>
      <c r="K94" s="72" t="s">
        <v>55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AA94" s="26"/>
    </row>
    <row r="95" spans="2:27" ht="24.95" customHeight="1" x14ac:dyDescent="0.3">
      <c r="B95" s="66"/>
      <c r="C95" s="66"/>
      <c r="D95" s="66"/>
      <c r="E95" s="68"/>
      <c r="F95" s="68"/>
      <c r="G95" s="68"/>
      <c r="H95" s="69"/>
      <c r="I95" s="69"/>
      <c r="J95" s="69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</row>
    <row r="96" spans="2:27" ht="24.95" customHeight="1" x14ac:dyDescent="0.3">
      <c r="B96" s="66"/>
      <c r="C96" s="66"/>
      <c r="D96" s="66"/>
      <c r="E96" s="68"/>
      <c r="F96" s="68"/>
      <c r="G96" s="68"/>
      <c r="H96" s="69"/>
      <c r="I96" s="69"/>
      <c r="J96" s="69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</row>
    <row r="97" spans="2:21" ht="24.95" customHeight="1" x14ac:dyDescent="0.3">
      <c r="B97" s="66"/>
      <c r="C97" s="66"/>
      <c r="D97" s="66"/>
      <c r="E97" s="68"/>
      <c r="F97" s="68"/>
      <c r="G97" s="68"/>
      <c r="H97" s="69"/>
      <c r="I97" s="69"/>
      <c r="J97" s="69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</row>
    <row r="98" spans="2:21" ht="24.95" customHeight="1" x14ac:dyDescent="0.3">
      <c r="B98" s="66"/>
      <c r="C98" s="66"/>
      <c r="D98" s="66"/>
      <c r="E98" s="68"/>
      <c r="F98" s="68"/>
      <c r="G98" s="68"/>
      <c r="H98" s="69"/>
      <c r="I98" s="69"/>
      <c r="J98" s="69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</row>
    <row r="99" spans="2:21" ht="24.95" customHeight="1" x14ac:dyDescent="0.3">
      <c r="B99" s="66"/>
      <c r="C99" s="66"/>
      <c r="D99" s="66"/>
      <c r="E99" s="68"/>
      <c r="F99" s="68"/>
      <c r="G99" s="68"/>
      <c r="H99" s="69"/>
      <c r="I99" s="69"/>
      <c r="J99" s="69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</row>
    <row r="100" spans="2:21" ht="24.95" customHeight="1" x14ac:dyDescent="0.3">
      <c r="B100" s="66"/>
      <c r="C100" s="66"/>
      <c r="D100" s="66"/>
      <c r="E100" s="68"/>
      <c r="F100" s="68"/>
      <c r="G100" s="68"/>
      <c r="H100" s="69"/>
      <c r="I100" s="69"/>
      <c r="J100" s="69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</row>
    <row r="101" spans="2:21" ht="24.95" customHeight="1" x14ac:dyDescent="0.3">
      <c r="B101" s="66"/>
      <c r="C101" s="66"/>
      <c r="D101" s="66"/>
      <c r="E101" s="73" t="s">
        <v>58</v>
      </c>
      <c r="F101" s="73"/>
      <c r="G101" s="73"/>
      <c r="H101" s="69" t="s">
        <v>53</v>
      </c>
      <c r="I101" s="69"/>
      <c r="J101" s="69"/>
      <c r="K101" s="70" t="s">
        <v>54</v>
      </c>
      <c r="L101" s="73"/>
      <c r="M101" s="73"/>
      <c r="N101" s="73"/>
      <c r="O101" s="73"/>
      <c r="P101" s="73"/>
      <c r="Q101" s="73"/>
      <c r="R101" s="73"/>
      <c r="S101" s="73"/>
      <c r="T101" s="73"/>
      <c r="U101" s="73"/>
    </row>
    <row r="102" spans="2:21" ht="24.95" customHeight="1" x14ac:dyDescent="0.3">
      <c r="B102" s="66"/>
      <c r="C102" s="66"/>
      <c r="D102" s="66"/>
      <c r="E102" s="73"/>
      <c r="F102" s="73"/>
      <c r="G102" s="73"/>
      <c r="H102" s="69"/>
      <c r="I102" s="69"/>
      <c r="J102" s="69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</row>
    <row r="103" spans="2:21" ht="24.95" customHeight="1" x14ac:dyDescent="0.3">
      <c r="B103" s="66"/>
      <c r="C103" s="66"/>
      <c r="D103" s="66"/>
      <c r="E103" s="73"/>
      <c r="F103" s="73"/>
      <c r="G103" s="73"/>
      <c r="H103" s="69"/>
      <c r="I103" s="69"/>
      <c r="J103" s="69"/>
      <c r="K103" s="74" t="s">
        <v>56</v>
      </c>
      <c r="L103" s="75"/>
      <c r="M103" s="75"/>
      <c r="N103" s="75"/>
      <c r="O103" s="75"/>
      <c r="P103" s="75"/>
      <c r="Q103" s="75"/>
      <c r="R103" s="75"/>
      <c r="S103" s="75"/>
      <c r="T103" s="75"/>
      <c r="U103" s="75"/>
    </row>
    <row r="104" spans="2:21" ht="24.95" customHeight="1" x14ac:dyDescent="0.3">
      <c r="B104" s="66"/>
      <c r="C104" s="66"/>
      <c r="D104" s="66"/>
      <c r="E104" s="73"/>
      <c r="F104" s="73"/>
      <c r="G104" s="73"/>
      <c r="H104" s="69"/>
      <c r="I104" s="69"/>
      <c r="J104" s="69"/>
      <c r="K104" s="74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r="105" spans="2:21" ht="24.95" customHeight="1" x14ac:dyDescent="0.3">
      <c r="B105" s="66"/>
      <c r="C105" s="66"/>
      <c r="D105" s="66"/>
      <c r="E105" s="73"/>
      <c r="F105" s="73"/>
      <c r="G105" s="73"/>
      <c r="H105" s="69"/>
      <c r="I105" s="69"/>
      <c r="J105" s="69"/>
      <c r="K105" s="76"/>
      <c r="L105" s="75"/>
      <c r="M105" s="75"/>
      <c r="N105" s="75"/>
      <c r="O105" s="75"/>
      <c r="P105" s="75"/>
      <c r="Q105" s="75"/>
      <c r="R105" s="75"/>
      <c r="S105" s="75"/>
      <c r="T105" s="75"/>
      <c r="U105" s="75"/>
    </row>
    <row r="106" spans="2:21" ht="24.95" customHeight="1" x14ac:dyDescent="0.3">
      <c r="B106" s="66"/>
      <c r="C106" s="66"/>
      <c r="D106" s="66"/>
      <c r="E106" s="73"/>
      <c r="F106" s="73"/>
      <c r="G106" s="73"/>
      <c r="H106" s="69"/>
      <c r="I106" s="69"/>
      <c r="J106" s="69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</row>
    <row r="107" spans="2:21" ht="24.95" customHeight="1" x14ac:dyDescent="0.3">
      <c r="B107" s="66"/>
      <c r="C107" s="66"/>
      <c r="D107" s="66"/>
      <c r="E107" s="73"/>
      <c r="F107" s="73"/>
      <c r="G107" s="73"/>
      <c r="H107" s="69"/>
      <c r="I107" s="69"/>
      <c r="J107" s="69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spans="2:21" ht="24.95" customHeight="1" x14ac:dyDescent="0.3"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</row>
    <row r="109" spans="2:21" ht="24.95" customHeight="1" x14ac:dyDescent="0.3"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</row>
    <row r="110" spans="2:21" ht="24.95" customHeight="1" x14ac:dyDescent="0.3">
      <c r="B110" s="66" t="s">
        <v>46</v>
      </c>
      <c r="C110" s="66"/>
      <c r="D110" s="66"/>
      <c r="E110" s="67" t="s">
        <v>47</v>
      </c>
      <c r="F110" s="67"/>
      <c r="G110" s="67"/>
      <c r="H110" s="67" t="s">
        <v>48</v>
      </c>
      <c r="I110" s="67"/>
      <c r="J110" s="67"/>
      <c r="K110" s="67" t="s">
        <v>49</v>
      </c>
      <c r="L110" s="67"/>
      <c r="M110" s="67"/>
      <c r="N110" s="67"/>
      <c r="O110" s="67"/>
      <c r="P110" s="67"/>
      <c r="Q110" s="67"/>
      <c r="R110" s="67"/>
      <c r="S110" s="67"/>
      <c r="T110" s="67"/>
      <c r="U110" s="67"/>
    </row>
    <row r="111" spans="2:21" ht="24.95" customHeight="1" x14ac:dyDescent="0.3">
      <c r="B111" s="66"/>
      <c r="C111" s="66"/>
      <c r="D111" s="66"/>
      <c r="E111" s="68" t="s">
        <v>59</v>
      </c>
      <c r="F111" s="68"/>
      <c r="G111" s="68"/>
      <c r="H111" s="69" t="s">
        <v>50</v>
      </c>
      <c r="I111" s="69"/>
      <c r="J111" s="69"/>
      <c r="K111" s="70" t="s">
        <v>60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</row>
    <row r="112" spans="2:21" ht="24.95" customHeight="1" x14ac:dyDescent="0.3">
      <c r="B112" s="66"/>
      <c r="C112" s="66"/>
      <c r="D112" s="66"/>
      <c r="E112" s="68"/>
      <c r="F112" s="68"/>
      <c r="G112" s="68"/>
      <c r="H112" s="69"/>
      <c r="I112" s="69"/>
      <c r="J112" s="69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</row>
    <row r="113" spans="2:40" ht="24.95" customHeight="1" x14ac:dyDescent="0.3">
      <c r="B113" s="66"/>
      <c r="C113" s="66"/>
      <c r="D113" s="66"/>
      <c r="E113" s="68"/>
      <c r="F113" s="68"/>
      <c r="G113" s="68"/>
      <c r="H113" s="69"/>
      <c r="I113" s="69"/>
      <c r="J113" s="69"/>
      <c r="K113" s="71" t="s">
        <v>61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</row>
    <row r="114" spans="2:40" ht="24.95" customHeight="1" x14ac:dyDescent="0.3">
      <c r="B114" s="66"/>
      <c r="C114" s="66"/>
      <c r="D114" s="66"/>
      <c r="E114" s="68"/>
      <c r="F114" s="68"/>
      <c r="G114" s="68"/>
      <c r="H114" s="69"/>
      <c r="I114" s="69"/>
      <c r="J114" s="69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</row>
    <row r="115" spans="2:40" ht="24.95" customHeight="1" x14ac:dyDescent="0.3">
      <c r="B115" s="66"/>
      <c r="C115" s="66"/>
      <c r="D115" s="66"/>
      <c r="E115" s="68"/>
      <c r="F115" s="68"/>
      <c r="G115" s="68"/>
      <c r="H115" s="69"/>
      <c r="I115" s="69"/>
      <c r="J115" s="69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</row>
    <row r="116" spans="2:40" ht="24.95" customHeight="1" x14ac:dyDescent="0.3"/>
    <row r="117" spans="2:40" ht="24.95" customHeight="1" x14ac:dyDescent="0.3">
      <c r="B117" s="45" t="s">
        <v>86</v>
      </c>
      <c r="C117" s="46"/>
      <c r="D117" s="47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4"/>
    </row>
    <row r="118" spans="2:40" ht="24.95" customHeight="1" x14ac:dyDescent="0.3">
      <c r="B118" s="48"/>
      <c r="C118" s="49"/>
      <c r="D118" s="50"/>
      <c r="F118" s="38" t="s">
        <v>62</v>
      </c>
      <c r="G118" s="39"/>
      <c r="I118" s="38" t="s">
        <v>72</v>
      </c>
      <c r="J118" s="54"/>
      <c r="K118" s="54"/>
      <c r="L118" s="54"/>
      <c r="M118" s="54"/>
      <c r="N118" s="54"/>
      <c r="O118" s="54"/>
      <c r="P118" s="39"/>
      <c r="R118" s="38" t="s">
        <v>73</v>
      </c>
      <c r="S118" s="39"/>
      <c r="U118" s="10"/>
    </row>
    <row r="119" spans="2:40" ht="24.95" customHeight="1" x14ac:dyDescent="0.3">
      <c r="B119" s="48"/>
      <c r="C119" s="49"/>
      <c r="D119" s="50"/>
      <c r="F119" s="43" t="s">
        <v>63</v>
      </c>
      <c r="G119" s="44"/>
      <c r="H119" s="33" t="s">
        <v>64</v>
      </c>
      <c r="I119" s="36" t="s">
        <v>65</v>
      </c>
      <c r="J119" s="37"/>
      <c r="K119" s="33" t="s">
        <v>64</v>
      </c>
      <c r="L119" s="36" t="s">
        <v>65</v>
      </c>
      <c r="M119" s="37"/>
      <c r="N119" s="33" t="s">
        <v>64</v>
      </c>
      <c r="O119" s="36" t="s">
        <v>65</v>
      </c>
      <c r="P119" s="37"/>
      <c r="Q119" s="33" t="s">
        <v>64</v>
      </c>
      <c r="R119" s="36" t="s">
        <v>65</v>
      </c>
      <c r="S119" s="37"/>
      <c r="U119" s="10"/>
    </row>
    <row r="120" spans="2:40" ht="24.95" customHeight="1" x14ac:dyDescent="0.3">
      <c r="B120" s="48"/>
      <c r="C120" s="49"/>
      <c r="D120" s="50"/>
      <c r="F120" s="43" t="s">
        <v>66</v>
      </c>
      <c r="G120" s="44"/>
      <c r="H120" s="33"/>
      <c r="I120" s="34" t="s">
        <v>67</v>
      </c>
      <c r="J120" s="35"/>
      <c r="K120" s="33"/>
      <c r="L120" s="34" t="s">
        <v>80</v>
      </c>
      <c r="M120" s="35"/>
      <c r="N120" s="33"/>
      <c r="O120" s="34" t="s">
        <v>79</v>
      </c>
      <c r="P120" s="35"/>
      <c r="Q120" s="33"/>
      <c r="R120" s="34" t="s">
        <v>78</v>
      </c>
      <c r="S120" s="35"/>
      <c r="U120" s="10"/>
    </row>
    <row r="121" spans="2:40" ht="24.95" customHeight="1" x14ac:dyDescent="0.3">
      <c r="B121" s="48"/>
      <c r="C121" s="49"/>
      <c r="D121" s="50"/>
      <c r="F121" s="43"/>
      <c r="G121" s="44"/>
      <c r="H121" s="33"/>
      <c r="I121" s="36" t="s">
        <v>68</v>
      </c>
      <c r="J121" s="37"/>
      <c r="K121" s="33"/>
      <c r="L121" s="36" t="s">
        <v>81</v>
      </c>
      <c r="M121" s="37"/>
      <c r="N121" s="33"/>
      <c r="O121" s="36" t="s">
        <v>82</v>
      </c>
      <c r="P121" s="37"/>
      <c r="Q121" s="33"/>
      <c r="R121" s="36"/>
      <c r="S121" s="37"/>
      <c r="U121" s="10"/>
      <c r="Y121" s="31"/>
      <c r="Z121" s="31"/>
      <c r="AA121" s="31"/>
      <c r="AB121" s="31"/>
      <c r="AC121" s="31"/>
      <c r="AD121" s="21"/>
      <c r="AE121" s="28"/>
    </row>
    <row r="122" spans="2:40" ht="24.95" customHeight="1" x14ac:dyDescent="0.3">
      <c r="B122" s="48"/>
      <c r="C122" s="49"/>
      <c r="D122" s="50"/>
      <c r="F122" s="43" t="s">
        <v>69</v>
      </c>
      <c r="G122" s="44"/>
      <c r="H122" s="33"/>
      <c r="I122" s="40" t="s">
        <v>74</v>
      </c>
      <c r="J122" s="41"/>
      <c r="K122" s="33"/>
      <c r="L122" s="40" t="s">
        <v>75</v>
      </c>
      <c r="M122" s="41"/>
      <c r="N122" s="33"/>
      <c r="O122" s="40" t="s">
        <v>76</v>
      </c>
      <c r="P122" s="41"/>
      <c r="Q122" s="33"/>
      <c r="R122" s="40" t="s">
        <v>77</v>
      </c>
      <c r="S122" s="41"/>
      <c r="U122" s="10"/>
      <c r="Z122" s="32"/>
      <c r="AA122" s="2"/>
      <c r="AB122" s="32"/>
      <c r="AC122" s="2"/>
      <c r="AD122" s="32"/>
      <c r="AE122" s="2"/>
      <c r="AJ122" s="31"/>
      <c r="AK122" s="31"/>
      <c r="AL122" s="31"/>
      <c r="AM122" s="31"/>
      <c r="AN122" s="31"/>
    </row>
    <row r="123" spans="2:40" ht="24.95" customHeight="1" x14ac:dyDescent="0.3">
      <c r="B123" s="48"/>
      <c r="C123" s="49"/>
      <c r="D123" s="50"/>
      <c r="F123" s="43"/>
      <c r="G123" s="44"/>
      <c r="H123" s="33"/>
      <c r="I123" s="42"/>
      <c r="J123" s="41"/>
      <c r="K123" s="33"/>
      <c r="L123" s="42"/>
      <c r="M123" s="41"/>
      <c r="N123" s="33"/>
      <c r="O123" s="42"/>
      <c r="P123" s="41"/>
      <c r="Q123" s="33"/>
      <c r="R123" s="42"/>
      <c r="S123" s="41"/>
      <c r="U123" s="10"/>
      <c r="Z123" s="32"/>
      <c r="AA123" s="2"/>
      <c r="AB123" s="32"/>
      <c r="AC123" s="2"/>
      <c r="AD123" s="32"/>
      <c r="AE123" s="33"/>
      <c r="AJ123" s="2"/>
      <c r="AK123" s="32"/>
      <c r="AL123" s="2"/>
      <c r="AM123" s="32"/>
      <c r="AN123" s="2"/>
    </row>
    <row r="124" spans="2:40" ht="24.95" customHeight="1" x14ac:dyDescent="0.3">
      <c r="B124" s="48"/>
      <c r="C124" s="49"/>
      <c r="D124" s="50"/>
      <c r="F124" s="43"/>
      <c r="G124" s="44"/>
      <c r="H124" s="33"/>
      <c r="I124" s="42"/>
      <c r="J124" s="41"/>
      <c r="K124" s="33"/>
      <c r="L124" s="42"/>
      <c r="M124" s="41"/>
      <c r="N124" s="33"/>
      <c r="O124" s="42"/>
      <c r="P124" s="41"/>
      <c r="Q124" s="33"/>
      <c r="R124" s="42"/>
      <c r="S124" s="41"/>
      <c r="U124" s="10"/>
      <c r="Z124" s="32"/>
      <c r="AA124" s="2"/>
      <c r="AB124" s="32"/>
      <c r="AC124" s="2"/>
      <c r="AD124" s="32"/>
      <c r="AE124" s="33"/>
      <c r="AJ124" s="2"/>
      <c r="AK124" s="32"/>
      <c r="AL124" s="2"/>
      <c r="AM124" s="32"/>
      <c r="AN124" s="2"/>
    </row>
    <row r="125" spans="2:40" ht="24.95" customHeight="1" x14ac:dyDescent="0.3">
      <c r="B125" s="48"/>
      <c r="C125" s="49"/>
      <c r="D125" s="50"/>
      <c r="F125" s="55" t="s">
        <v>70</v>
      </c>
      <c r="G125" s="56"/>
      <c r="H125" s="33"/>
      <c r="I125" s="55" t="s">
        <v>71</v>
      </c>
      <c r="J125" s="56"/>
      <c r="K125" s="33"/>
      <c r="L125" s="55" t="s">
        <v>83</v>
      </c>
      <c r="M125" s="56"/>
      <c r="N125" s="33"/>
      <c r="O125" s="55" t="s">
        <v>84</v>
      </c>
      <c r="P125" s="56"/>
      <c r="Q125" s="33"/>
      <c r="R125" s="43" t="s">
        <v>85</v>
      </c>
      <c r="S125" s="44"/>
      <c r="U125" s="10"/>
      <c r="Z125" s="32"/>
      <c r="AA125" s="6"/>
      <c r="AB125" s="32"/>
      <c r="AC125" s="6"/>
      <c r="AD125" s="32"/>
      <c r="AE125" s="6"/>
      <c r="AJ125" s="2"/>
      <c r="AK125" s="32"/>
      <c r="AL125" s="2"/>
      <c r="AM125" s="32"/>
      <c r="AN125" s="2"/>
    </row>
    <row r="126" spans="2:40" ht="24.95" customHeight="1" x14ac:dyDescent="0.3">
      <c r="B126" s="48"/>
      <c r="C126" s="49"/>
      <c r="D126" s="50"/>
      <c r="F126" s="55"/>
      <c r="G126" s="56"/>
      <c r="H126" s="33"/>
      <c r="I126" s="55"/>
      <c r="J126" s="56"/>
      <c r="K126" s="33"/>
      <c r="L126" s="55"/>
      <c r="M126" s="56"/>
      <c r="N126" s="33"/>
      <c r="O126" s="55"/>
      <c r="P126" s="56"/>
      <c r="Q126" s="33"/>
      <c r="R126" s="43"/>
      <c r="S126" s="44"/>
      <c r="U126" s="10"/>
      <c r="Z126" s="32"/>
      <c r="AA126" s="6"/>
      <c r="AB126" s="32"/>
      <c r="AC126" s="6"/>
      <c r="AD126" s="32"/>
      <c r="AE126" s="6"/>
      <c r="AJ126" s="6"/>
      <c r="AK126" s="32"/>
      <c r="AL126" s="6"/>
      <c r="AM126" s="32"/>
      <c r="AN126" s="6"/>
    </row>
    <row r="127" spans="2:40" ht="24.95" customHeight="1" x14ac:dyDescent="0.3">
      <c r="B127" s="51"/>
      <c r="C127" s="52"/>
      <c r="D127" s="53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11"/>
      <c r="Z127" s="32"/>
      <c r="AA127" s="26"/>
      <c r="AB127" s="32"/>
      <c r="AC127" s="26"/>
      <c r="AD127" s="32"/>
      <c r="AE127" s="6"/>
      <c r="AJ127" s="6"/>
      <c r="AK127" s="32"/>
      <c r="AL127" s="6"/>
      <c r="AM127" s="32"/>
      <c r="AN127" s="6"/>
    </row>
    <row r="128" spans="2:40" ht="24.95" customHeight="1" x14ac:dyDescent="0.3">
      <c r="Z128" s="32"/>
      <c r="AA128" s="2"/>
      <c r="AB128" s="32"/>
      <c r="AC128" s="2"/>
      <c r="AD128" s="32"/>
      <c r="AE128" s="33"/>
      <c r="AJ128" s="33"/>
      <c r="AK128" s="32"/>
      <c r="AL128" s="2"/>
      <c r="AM128" s="32"/>
      <c r="AN128" s="2"/>
    </row>
    <row r="129" spans="26:40" ht="24.95" customHeight="1" x14ac:dyDescent="0.3">
      <c r="Z129" s="32"/>
      <c r="AA129" s="2"/>
      <c r="AB129" s="32"/>
      <c r="AC129" s="2"/>
      <c r="AD129" s="32"/>
      <c r="AE129" s="33"/>
      <c r="AJ129" s="33"/>
      <c r="AK129" s="32"/>
      <c r="AL129" s="2"/>
      <c r="AM129" s="32"/>
      <c r="AN129" s="2"/>
    </row>
    <row r="130" spans="26:40" ht="24.95" customHeight="1" x14ac:dyDescent="0.3"/>
  </sheetData>
  <mergeCells count="145">
    <mergeCell ref="A3:V9"/>
    <mergeCell ref="A10:V12"/>
    <mergeCell ref="A25:V27"/>
    <mergeCell ref="E45:K45"/>
    <mergeCell ref="E44:K44"/>
    <mergeCell ref="E47:K47"/>
    <mergeCell ref="E48:K48"/>
    <mergeCell ref="B48:D48"/>
    <mergeCell ref="L48:N48"/>
    <mergeCell ref="O44:U44"/>
    <mergeCell ref="O45:U45"/>
    <mergeCell ref="O46:U46"/>
    <mergeCell ref="O47:U47"/>
    <mergeCell ref="O48:U48"/>
    <mergeCell ref="E46:K46"/>
    <mergeCell ref="L44:N44"/>
    <mergeCell ref="L45:N45"/>
    <mergeCell ref="L46:N46"/>
    <mergeCell ref="L47:N47"/>
    <mergeCell ref="B44:D44"/>
    <mergeCell ref="B45:D45"/>
    <mergeCell ref="B46:D46"/>
    <mergeCell ref="B47:D47"/>
    <mergeCell ref="B54:D55"/>
    <mergeCell ref="L52:N53"/>
    <mergeCell ref="O52:P52"/>
    <mergeCell ref="Q52:R52"/>
    <mergeCell ref="S52:T52"/>
    <mergeCell ref="O53:P53"/>
    <mergeCell ref="Q53:R53"/>
    <mergeCell ref="S53:T53"/>
    <mergeCell ref="B53:D53"/>
    <mergeCell ref="B52:D52"/>
    <mergeCell ref="E52:K52"/>
    <mergeCell ref="E53:K53"/>
    <mergeCell ref="AF69:AG69"/>
    <mergeCell ref="O54:T55"/>
    <mergeCell ref="K58:N58"/>
    <mergeCell ref="K59:N59"/>
    <mergeCell ref="L60:N60"/>
    <mergeCell ref="AF60:AF61"/>
    <mergeCell ref="AG60:AG61"/>
    <mergeCell ref="AC66:AD66"/>
    <mergeCell ref="AC67:AD67"/>
    <mergeCell ref="AE66:AE67"/>
    <mergeCell ref="AF66:AG66"/>
    <mergeCell ref="AF67:AG67"/>
    <mergeCell ref="AE55:AE56"/>
    <mergeCell ref="AF55:AF56"/>
    <mergeCell ref="AG55:AG56"/>
    <mergeCell ref="AE58:AE59"/>
    <mergeCell ref="AF58:AG58"/>
    <mergeCell ref="AF59:AG59"/>
    <mergeCell ref="P61:S61"/>
    <mergeCell ref="AC60:AC61"/>
    <mergeCell ref="AC69:AD69"/>
    <mergeCell ref="Q62:S62"/>
    <mergeCell ref="E54:K55"/>
    <mergeCell ref="L54:N55"/>
    <mergeCell ref="G69:I69"/>
    <mergeCell ref="L69:N69"/>
    <mergeCell ref="Q69:S69"/>
    <mergeCell ref="B57:D70"/>
    <mergeCell ref="K65:N65"/>
    <mergeCell ref="L66:N66"/>
    <mergeCell ref="P65:S65"/>
    <mergeCell ref="Q66:S66"/>
    <mergeCell ref="F68:I68"/>
    <mergeCell ref="K68:N68"/>
    <mergeCell ref="P68:S68"/>
    <mergeCell ref="F65:I65"/>
    <mergeCell ref="G66:I66"/>
    <mergeCell ref="H78:T81"/>
    <mergeCell ref="H82:T84"/>
    <mergeCell ref="B72:D84"/>
    <mergeCell ref="B86:D88"/>
    <mergeCell ref="E86:T88"/>
    <mergeCell ref="E72:G73"/>
    <mergeCell ref="E74:G77"/>
    <mergeCell ref="E78:G81"/>
    <mergeCell ref="E82:G84"/>
    <mergeCell ref="H72:T73"/>
    <mergeCell ref="I121:J121"/>
    <mergeCell ref="B33:U43"/>
    <mergeCell ref="I125:J126"/>
    <mergeCell ref="B91:D107"/>
    <mergeCell ref="B110:D115"/>
    <mergeCell ref="E110:G110"/>
    <mergeCell ref="H110:J110"/>
    <mergeCell ref="K110:U110"/>
    <mergeCell ref="E111:G115"/>
    <mergeCell ref="H111:J115"/>
    <mergeCell ref="K111:U112"/>
    <mergeCell ref="K113:U115"/>
    <mergeCell ref="H92:J100"/>
    <mergeCell ref="K92:U93"/>
    <mergeCell ref="K94:U100"/>
    <mergeCell ref="E92:G100"/>
    <mergeCell ref="K101:U102"/>
    <mergeCell ref="K103:U107"/>
    <mergeCell ref="H101:J107"/>
    <mergeCell ref="E101:G107"/>
    <mergeCell ref="E91:G91"/>
    <mergeCell ref="H91:J91"/>
    <mergeCell ref="K91:U91"/>
    <mergeCell ref="H74:T77"/>
    <mergeCell ref="R118:S118"/>
    <mergeCell ref="R119:S119"/>
    <mergeCell ref="R120:S121"/>
    <mergeCell ref="R122:S124"/>
    <mergeCell ref="R125:S126"/>
    <mergeCell ref="B117:D127"/>
    <mergeCell ref="I118:P118"/>
    <mergeCell ref="O120:P120"/>
    <mergeCell ref="O121:P121"/>
    <mergeCell ref="L125:M126"/>
    <mergeCell ref="O119:P119"/>
    <mergeCell ref="O122:P124"/>
    <mergeCell ref="O125:P126"/>
    <mergeCell ref="I122:J124"/>
    <mergeCell ref="L119:M119"/>
    <mergeCell ref="L122:M124"/>
    <mergeCell ref="F118:G118"/>
    <mergeCell ref="F119:G119"/>
    <mergeCell ref="F120:G121"/>
    <mergeCell ref="F122:G124"/>
    <mergeCell ref="F125:G126"/>
    <mergeCell ref="H119:H126"/>
    <mergeCell ref="I119:J119"/>
    <mergeCell ref="I120:J120"/>
    <mergeCell ref="AJ122:AN122"/>
    <mergeCell ref="AK123:AK129"/>
    <mergeCell ref="AM123:AM129"/>
    <mergeCell ref="AJ128:AJ129"/>
    <mergeCell ref="K119:K126"/>
    <mergeCell ref="N119:N126"/>
    <mergeCell ref="Q119:Q126"/>
    <mergeCell ref="L120:M120"/>
    <mergeCell ref="L121:M121"/>
    <mergeCell ref="AE123:AE124"/>
    <mergeCell ref="AE128:AE129"/>
    <mergeCell ref="Y121:AC121"/>
    <mergeCell ref="Z122:Z129"/>
    <mergeCell ref="AB122:AB129"/>
    <mergeCell ref="AD122:AD129"/>
  </mergeCells>
  <phoneticPr fontId="1" type="noConversion"/>
  <pageMargins left="0.7" right="0.7" top="0.75" bottom="0.75" header="0.3" footer="0.3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5573-8695-445E-9A53-DB1DF212CB67}">
  <sheetPr>
    <tabColor rgb="FF0066FF"/>
    <pageSetUpPr fitToPage="1"/>
  </sheetPr>
  <dimension ref="B1:BC866"/>
  <sheetViews>
    <sheetView view="pageBreakPreview" zoomScale="70" zoomScaleNormal="70" zoomScaleSheetLayoutView="70" workbookViewId="0">
      <pane ySplit="10" topLeftCell="A11" activePane="bottomLeft" state="frozen"/>
      <selection activeCell="B19" sqref="B19:T26"/>
      <selection pane="bottomLeft" activeCell="B1" sqref="B1"/>
    </sheetView>
  </sheetViews>
  <sheetFormatPr defaultColWidth="9" defaultRowHeight="20.25" x14ac:dyDescent="0.3"/>
  <cols>
    <col min="1" max="1" width="9" style="30" customWidth="1"/>
    <col min="2" max="9" width="3.875" style="30" customWidth="1"/>
    <col min="10" max="19" width="2.625" style="30" customWidth="1"/>
    <col min="20" max="25" width="4.125" style="30" customWidth="1"/>
    <col min="26" max="29" width="9.875" style="30" customWidth="1"/>
    <col min="30" max="30" width="16.5" style="30" customWidth="1"/>
    <col min="31" max="31" width="5" style="30" customWidth="1"/>
    <col min="32" max="37" width="9.875" style="30" customWidth="1"/>
    <col min="38" max="43" width="4.625" style="30" customWidth="1"/>
    <col min="44" max="44" width="3.75" style="30" customWidth="1"/>
    <col min="45" max="16384" width="9" style="30"/>
  </cols>
  <sheetData>
    <row r="1" spans="2:44" ht="35.1" customHeight="1" x14ac:dyDescent="0.3"/>
    <row r="2" spans="2:44" ht="35.1" customHeight="1" x14ac:dyDescent="0.3">
      <c r="B2" s="164" t="s">
        <v>14</v>
      </c>
      <c r="C2" s="164"/>
      <c r="D2" s="164"/>
      <c r="E2" s="164"/>
      <c r="F2" s="164"/>
      <c r="G2" s="164"/>
      <c r="H2" s="164"/>
      <c r="I2" s="164" t="str">
        <f>기본정보!AA1</f>
        <v>123TEST공사</v>
      </c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210" t="s">
        <v>103</v>
      </c>
      <c r="W2" s="210"/>
      <c r="X2" s="210"/>
      <c r="Y2" s="210"/>
      <c r="Z2" s="210"/>
      <c r="AA2" s="210"/>
      <c r="AB2" s="210"/>
      <c r="AC2" s="210"/>
      <c r="AD2" s="210"/>
      <c r="AE2" s="204" t="s">
        <v>87</v>
      </c>
      <c r="AF2" s="202" t="s">
        <v>88</v>
      </c>
      <c r="AG2" s="203"/>
      <c r="AH2" s="202" t="s">
        <v>89</v>
      </c>
      <c r="AI2" s="203"/>
      <c r="AJ2" s="202" t="s">
        <v>17</v>
      </c>
      <c r="AK2" s="203"/>
      <c r="AL2" s="204" t="s">
        <v>90</v>
      </c>
      <c r="AM2" s="164" t="s">
        <v>91</v>
      </c>
      <c r="AN2" s="164"/>
      <c r="AO2" s="164"/>
      <c r="AP2" s="164"/>
      <c r="AQ2" s="164"/>
      <c r="AR2" s="29"/>
    </row>
    <row r="3" spans="2:44" ht="35.1" customHeight="1" x14ac:dyDescent="0.3">
      <c r="B3" s="202" t="s">
        <v>92</v>
      </c>
      <c r="C3" s="206"/>
      <c r="D3" s="206"/>
      <c r="E3" s="206"/>
      <c r="F3" s="206"/>
      <c r="G3" s="206"/>
      <c r="H3" s="203"/>
      <c r="I3" s="207">
        <f>기본정보!AA4</f>
        <v>45658</v>
      </c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9"/>
      <c r="V3" s="210"/>
      <c r="W3" s="210"/>
      <c r="X3" s="210"/>
      <c r="Y3" s="210"/>
      <c r="Z3" s="210"/>
      <c r="AA3" s="210"/>
      <c r="AB3" s="210"/>
      <c r="AC3" s="210"/>
      <c r="AD3" s="210"/>
      <c r="AE3" s="205"/>
      <c r="AF3" s="165"/>
      <c r="AG3" s="167"/>
      <c r="AH3" s="165"/>
      <c r="AI3" s="167"/>
      <c r="AJ3" s="165"/>
      <c r="AK3" s="167"/>
      <c r="AL3" s="205"/>
      <c r="AM3" s="165"/>
      <c r="AN3" s="166"/>
      <c r="AO3" s="166"/>
      <c r="AP3" s="166"/>
      <c r="AQ3" s="167"/>
      <c r="AR3" s="29"/>
    </row>
    <row r="4" spans="2:44" ht="35.1" customHeight="1" x14ac:dyDescent="0.3">
      <c r="B4" s="202" t="s">
        <v>16</v>
      </c>
      <c r="C4" s="206"/>
      <c r="D4" s="206"/>
      <c r="E4" s="206"/>
      <c r="F4" s="206"/>
      <c r="G4" s="206"/>
      <c r="H4" s="203"/>
      <c r="I4" s="202" t="str">
        <f>기본정보!AA2</f>
        <v>주식회사 예조종합건설</v>
      </c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3"/>
      <c r="V4" s="210"/>
      <c r="W4" s="210"/>
      <c r="X4" s="210"/>
      <c r="Y4" s="210"/>
      <c r="Z4" s="210"/>
      <c r="AA4" s="210"/>
      <c r="AB4" s="210"/>
      <c r="AC4" s="210"/>
      <c r="AD4" s="210"/>
      <c r="AE4" s="205" t="s">
        <v>93</v>
      </c>
      <c r="AF4" s="168"/>
      <c r="AG4" s="170"/>
      <c r="AH4" s="168"/>
      <c r="AI4" s="170"/>
      <c r="AJ4" s="168"/>
      <c r="AK4" s="170"/>
      <c r="AL4" s="205" t="s">
        <v>94</v>
      </c>
      <c r="AM4" s="168"/>
      <c r="AN4" s="169"/>
      <c r="AO4" s="169"/>
      <c r="AP4" s="169"/>
      <c r="AQ4" s="170"/>
      <c r="AR4" s="29"/>
    </row>
    <row r="5" spans="2:44" ht="35.1" customHeight="1" x14ac:dyDescent="0.3">
      <c r="B5" s="164" t="s">
        <v>104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210"/>
      <c r="W5" s="210"/>
      <c r="X5" s="210"/>
      <c r="Y5" s="210"/>
      <c r="Z5" s="210"/>
      <c r="AA5" s="210"/>
      <c r="AB5" s="210"/>
      <c r="AC5" s="210"/>
      <c r="AD5" s="210"/>
      <c r="AE5" s="211"/>
      <c r="AF5" s="171"/>
      <c r="AG5" s="173"/>
      <c r="AH5" s="171"/>
      <c r="AI5" s="173"/>
      <c r="AJ5" s="171"/>
      <c r="AK5" s="173"/>
      <c r="AL5" s="211"/>
      <c r="AM5" s="171"/>
      <c r="AN5" s="172"/>
      <c r="AO5" s="172"/>
      <c r="AP5" s="172"/>
      <c r="AQ5" s="173"/>
      <c r="AR5" s="29"/>
    </row>
    <row r="6" spans="2:44" ht="35.1" customHeight="1" x14ac:dyDescent="0.3"/>
    <row r="7" spans="2:44" ht="24.6" customHeight="1" x14ac:dyDescent="0.3">
      <c r="B7" s="192" t="s">
        <v>106</v>
      </c>
      <c r="C7" s="192"/>
      <c r="D7" s="192"/>
      <c r="E7" s="192"/>
      <c r="F7" s="183" t="s">
        <v>102</v>
      </c>
      <c r="G7" s="184"/>
      <c r="H7" s="184"/>
      <c r="I7" s="185"/>
      <c r="J7" s="165" t="s">
        <v>101</v>
      </c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7"/>
      <c r="V7" s="164" t="s">
        <v>105</v>
      </c>
      <c r="W7" s="164"/>
      <c r="X7" s="164"/>
      <c r="Y7" s="164"/>
      <c r="Z7" s="164" t="s">
        <v>95</v>
      </c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92" t="s">
        <v>96</v>
      </c>
      <c r="AM7" s="164"/>
      <c r="AN7" s="164"/>
      <c r="AO7" s="192" t="s">
        <v>97</v>
      </c>
      <c r="AP7" s="164"/>
      <c r="AQ7" s="164"/>
      <c r="AR7" s="29"/>
    </row>
    <row r="8" spans="2:44" ht="24.6" customHeight="1" x14ac:dyDescent="0.3">
      <c r="B8" s="192"/>
      <c r="C8" s="192"/>
      <c r="D8" s="192"/>
      <c r="E8" s="192"/>
      <c r="F8" s="186"/>
      <c r="G8" s="187"/>
      <c r="H8" s="187"/>
      <c r="I8" s="188"/>
      <c r="J8" s="168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70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29"/>
    </row>
    <row r="9" spans="2:44" ht="24.6" customHeight="1" x14ac:dyDescent="0.3">
      <c r="B9" s="165" t="s">
        <v>107</v>
      </c>
      <c r="C9" s="166"/>
      <c r="D9" s="166"/>
      <c r="E9" s="167"/>
      <c r="F9" s="186"/>
      <c r="G9" s="187"/>
      <c r="H9" s="187"/>
      <c r="I9" s="188"/>
      <c r="J9" s="168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70"/>
      <c r="V9" s="165" t="s">
        <v>98</v>
      </c>
      <c r="W9" s="166"/>
      <c r="X9" s="166"/>
      <c r="Y9" s="167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92" t="s">
        <v>99</v>
      </c>
      <c r="AM9" s="164"/>
      <c r="AN9" s="164"/>
      <c r="AO9" s="164" t="s">
        <v>100</v>
      </c>
      <c r="AP9" s="164"/>
      <c r="AQ9" s="164"/>
      <c r="AR9" s="29"/>
    </row>
    <row r="10" spans="2:44" ht="24.6" customHeight="1" x14ac:dyDescent="0.3">
      <c r="B10" s="171"/>
      <c r="C10" s="172"/>
      <c r="D10" s="172"/>
      <c r="E10" s="173"/>
      <c r="F10" s="189"/>
      <c r="G10" s="190"/>
      <c r="H10" s="190"/>
      <c r="I10" s="191"/>
      <c r="J10" s="171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3"/>
      <c r="V10" s="171"/>
      <c r="W10" s="172"/>
      <c r="X10" s="172"/>
      <c r="Y10" s="173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29"/>
    </row>
    <row r="11" spans="2:44" ht="21" customHeight="1" x14ac:dyDescent="0.3">
      <c r="B11" s="161"/>
      <c r="C11" s="162"/>
      <c r="D11" s="162"/>
      <c r="E11" s="163"/>
      <c r="F11" s="192"/>
      <c r="G11" s="192"/>
      <c r="H11" s="192"/>
      <c r="I11" s="192"/>
      <c r="J11" s="174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6"/>
      <c r="V11" s="165"/>
      <c r="W11" s="166"/>
      <c r="X11" s="166"/>
      <c r="Y11" s="167"/>
      <c r="Z11" s="196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8"/>
      <c r="AL11" s="164"/>
      <c r="AM11" s="164"/>
      <c r="AN11" s="164"/>
      <c r="AO11" s="164"/>
      <c r="AP11" s="164"/>
      <c r="AQ11" s="164"/>
      <c r="AR11" s="29"/>
    </row>
    <row r="12" spans="2:44" ht="21" customHeight="1" x14ac:dyDescent="0.3">
      <c r="B12" s="161"/>
      <c r="C12" s="162"/>
      <c r="D12" s="162"/>
      <c r="E12" s="163"/>
      <c r="F12" s="192"/>
      <c r="G12" s="192"/>
      <c r="H12" s="192"/>
      <c r="I12" s="192"/>
      <c r="J12" s="177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9"/>
      <c r="V12" s="168"/>
      <c r="W12" s="169"/>
      <c r="X12" s="169"/>
      <c r="Y12" s="170"/>
      <c r="Z12" s="193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5"/>
      <c r="AL12" s="164"/>
      <c r="AM12" s="164"/>
      <c r="AN12" s="164"/>
      <c r="AO12" s="164"/>
      <c r="AP12" s="164"/>
      <c r="AQ12" s="164"/>
      <c r="AR12" s="29"/>
    </row>
    <row r="13" spans="2:44" ht="21" customHeight="1" x14ac:dyDescent="0.3">
      <c r="B13" s="161"/>
      <c r="C13" s="162"/>
      <c r="D13" s="162"/>
      <c r="E13" s="163"/>
      <c r="F13" s="192"/>
      <c r="G13" s="192"/>
      <c r="H13" s="192"/>
      <c r="I13" s="192"/>
      <c r="J13" s="177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9"/>
      <c r="V13" s="168"/>
      <c r="W13" s="169"/>
      <c r="X13" s="169"/>
      <c r="Y13" s="170"/>
      <c r="Z13" s="193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5"/>
      <c r="AL13" s="164"/>
      <c r="AM13" s="164"/>
      <c r="AN13" s="164"/>
      <c r="AO13" s="164"/>
      <c r="AP13" s="164"/>
      <c r="AQ13" s="164"/>
      <c r="AR13" s="29"/>
    </row>
    <row r="14" spans="2:44" ht="21" customHeight="1" x14ac:dyDescent="0.3">
      <c r="B14" s="161"/>
      <c r="C14" s="162"/>
      <c r="D14" s="162"/>
      <c r="E14" s="163"/>
      <c r="F14" s="192"/>
      <c r="G14" s="192"/>
      <c r="H14" s="192"/>
      <c r="I14" s="192"/>
      <c r="J14" s="177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9"/>
      <c r="V14" s="168"/>
      <c r="W14" s="169"/>
      <c r="X14" s="169"/>
      <c r="Y14" s="170"/>
      <c r="Z14" s="193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5"/>
      <c r="AL14" s="164"/>
      <c r="AM14" s="164"/>
      <c r="AN14" s="164"/>
      <c r="AO14" s="164"/>
      <c r="AP14" s="164"/>
      <c r="AQ14" s="164"/>
      <c r="AR14" s="29"/>
    </row>
    <row r="15" spans="2:44" ht="21" customHeight="1" x14ac:dyDescent="0.3">
      <c r="B15" s="161"/>
      <c r="C15" s="162"/>
      <c r="D15" s="162"/>
      <c r="E15" s="163"/>
      <c r="F15" s="192"/>
      <c r="G15" s="192"/>
      <c r="H15" s="192"/>
      <c r="I15" s="192"/>
      <c r="J15" s="177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9"/>
      <c r="V15" s="168"/>
      <c r="W15" s="169"/>
      <c r="X15" s="169"/>
      <c r="Y15" s="170"/>
      <c r="Z15" s="193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5"/>
      <c r="AL15" s="164"/>
      <c r="AM15" s="164"/>
      <c r="AN15" s="164"/>
      <c r="AO15" s="164"/>
      <c r="AP15" s="164"/>
      <c r="AQ15" s="164"/>
      <c r="AR15" s="29"/>
    </row>
    <row r="16" spans="2:44" ht="21" customHeight="1" x14ac:dyDescent="0.3">
      <c r="B16" s="161"/>
      <c r="C16" s="162"/>
      <c r="D16" s="162"/>
      <c r="E16" s="163"/>
      <c r="F16" s="192"/>
      <c r="G16" s="192"/>
      <c r="H16" s="192"/>
      <c r="I16" s="192"/>
      <c r="J16" s="177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9"/>
      <c r="V16" s="168"/>
      <c r="W16" s="169"/>
      <c r="X16" s="169"/>
      <c r="Y16" s="170"/>
      <c r="Z16" s="193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5"/>
      <c r="AL16" s="164"/>
      <c r="AM16" s="164"/>
      <c r="AN16" s="164"/>
      <c r="AO16" s="164"/>
      <c r="AP16" s="164"/>
      <c r="AQ16" s="164"/>
      <c r="AR16" s="29"/>
    </row>
    <row r="17" spans="2:44" ht="21" customHeight="1" x14ac:dyDescent="0.3">
      <c r="B17" s="161"/>
      <c r="C17" s="162"/>
      <c r="D17" s="162"/>
      <c r="E17" s="163"/>
      <c r="F17" s="192"/>
      <c r="G17" s="192"/>
      <c r="H17" s="192"/>
      <c r="I17" s="192"/>
      <c r="J17" s="177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9"/>
      <c r="V17" s="168"/>
      <c r="W17" s="169"/>
      <c r="X17" s="169"/>
      <c r="Y17" s="170"/>
      <c r="Z17" s="193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5"/>
      <c r="AL17" s="164"/>
      <c r="AM17" s="164"/>
      <c r="AN17" s="164"/>
      <c r="AO17" s="164"/>
      <c r="AP17" s="164"/>
      <c r="AQ17" s="164"/>
      <c r="AR17" s="29"/>
    </row>
    <row r="18" spans="2:44" ht="21" customHeight="1" x14ac:dyDescent="0.3">
      <c r="B18" s="161"/>
      <c r="C18" s="162"/>
      <c r="D18" s="162"/>
      <c r="E18" s="163"/>
      <c r="F18" s="192"/>
      <c r="G18" s="192"/>
      <c r="H18" s="192"/>
      <c r="I18" s="192"/>
      <c r="J18" s="180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2"/>
      <c r="V18" s="171"/>
      <c r="W18" s="172"/>
      <c r="X18" s="172"/>
      <c r="Y18" s="173"/>
      <c r="Z18" s="199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1"/>
      <c r="AL18" s="164"/>
      <c r="AM18" s="164"/>
      <c r="AN18" s="164"/>
      <c r="AO18" s="164"/>
      <c r="AP18" s="164"/>
      <c r="AQ18" s="164"/>
      <c r="AR18" s="29"/>
    </row>
    <row r="19" spans="2:44" ht="21" customHeight="1" x14ac:dyDescent="0.3">
      <c r="B19" s="161"/>
      <c r="C19" s="162"/>
      <c r="D19" s="162"/>
      <c r="E19" s="163"/>
      <c r="F19" s="192"/>
      <c r="G19" s="192"/>
      <c r="H19" s="192"/>
      <c r="I19" s="192"/>
      <c r="J19" s="183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5"/>
      <c r="V19" s="165"/>
      <c r="W19" s="166"/>
      <c r="X19" s="166"/>
      <c r="Y19" s="167"/>
      <c r="Z19" s="196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8"/>
      <c r="AL19" s="164"/>
      <c r="AM19" s="164"/>
      <c r="AN19" s="164"/>
      <c r="AO19" s="164"/>
      <c r="AP19" s="164"/>
      <c r="AQ19" s="164"/>
      <c r="AR19" s="29"/>
    </row>
    <row r="20" spans="2:44" ht="21" customHeight="1" x14ac:dyDescent="0.3">
      <c r="B20" s="161"/>
      <c r="C20" s="162"/>
      <c r="D20" s="162"/>
      <c r="E20" s="163"/>
      <c r="F20" s="192"/>
      <c r="G20" s="192"/>
      <c r="H20" s="192"/>
      <c r="I20" s="192"/>
      <c r="J20" s="186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8"/>
      <c r="V20" s="168"/>
      <c r="W20" s="169"/>
      <c r="X20" s="169"/>
      <c r="Y20" s="170"/>
      <c r="Z20" s="193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5"/>
      <c r="AL20" s="164"/>
      <c r="AM20" s="164"/>
      <c r="AN20" s="164"/>
      <c r="AO20" s="164"/>
      <c r="AP20" s="164"/>
      <c r="AQ20" s="164"/>
      <c r="AR20" s="29"/>
    </row>
    <row r="21" spans="2:44" ht="21" customHeight="1" x14ac:dyDescent="0.3">
      <c r="B21" s="161"/>
      <c r="C21" s="162"/>
      <c r="D21" s="162"/>
      <c r="E21" s="163"/>
      <c r="F21" s="192"/>
      <c r="G21" s="192"/>
      <c r="H21" s="192"/>
      <c r="I21" s="192"/>
      <c r="J21" s="186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8"/>
      <c r="V21" s="168"/>
      <c r="W21" s="169"/>
      <c r="X21" s="169"/>
      <c r="Y21" s="170"/>
      <c r="Z21" s="193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5"/>
      <c r="AL21" s="164"/>
      <c r="AM21" s="164"/>
      <c r="AN21" s="164"/>
      <c r="AO21" s="164"/>
      <c r="AP21" s="164"/>
      <c r="AQ21" s="164"/>
      <c r="AR21" s="29"/>
    </row>
    <row r="22" spans="2:44" ht="21" customHeight="1" x14ac:dyDescent="0.3">
      <c r="B22" s="161"/>
      <c r="C22" s="162"/>
      <c r="D22" s="162"/>
      <c r="E22" s="163"/>
      <c r="F22" s="192"/>
      <c r="G22" s="192"/>
      <c r="H22" s="192"/>
      <c r="I22" s="192"/>
      <c r="J22" s="186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8"/>
      <c r="V22" s="168"/>
      <c r="W22" s="169"/>
      <c r="X22" s="169"/>
      <c r="Y22" s="170"/>
      <c r="Z22" s="193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5"/>
      <c r="AL22" s="164"/>
      <c r="AM22" s="164"/>
      <c r="AN22" s="164"/>
      <c r="AO22" s="164"/>
      <c r="AP22" s="164"/>
      <c r="AQ22" s="164"/>
      <c r="AR22" s="29"/>
    </row>
    <row r="23" spans="2:44" ht="21" customHeight="1" x14ac:dyDescent="0.3">
      <c r="B23" s="161"/>
      <c r="C23" s="162"/>
      <c r="D23" s="162"/>
      <c r="E23" s="163"/>
      <c r="F23" s="192"/>
      <c r="G23" s="192"/>
      <c r="H23" s="192"/>
      <c r="I23" s="192"/>
      <c r="J23" s="186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8"/>
      <c r="V23" s="168"/>
      <c r="W23" s="169"/>
      <c r="X23" s="169"/>
      <c r="Y23" s="170"/>
      <c r="Z23" s="193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5"/>
      <c r="AL23" s="164"/>
      <c r="AM23" s="164"/>
      <c r="AN23" s="164"/>
      <c r="AO23" s="164"/>
      <c r="AP23" s="164"/>
      <c r="AQ23" s="164"/>
      <c r="AR23" s="29"/>
    </row>
    <row r="24" spans="2:44" ht="21" customHeight="1" x14ac:dyDescent="0.3">
      <c r="B24" s="161"/>
      <c r="C24" s="162"/>
      <c r="D24" s="162"/>
      <c r="E24" s="163"/>
      <c r="F24" s="192"/>
      <c r="G24" s="192"/>
      <c r="H24" s="192"/>
      <c r="I24" s="192"/>
      <c r="J24" s="186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8"/>
      <c r="V24" s="168"/>
      <c r="W24" s="169"/>
      <c r="X24" s="169"/>
      <c r="Y24" s="170"/>
      <c r="Z24" s="193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5"/>
      <c r="AL24" s="164"/>
      <c r="AM24" s="164"/>
      <c r="AN24" s="164"/>
      <c r="AO24" s="164"/>
      <c r="AP24" s="164"/>
      <c r="AQ24" s="164"/>
      <c r="AR24" s="29"/>
    </row>
    <row r="25" spans="2:44" ht="21" customHeight="1" x14ac:dyDescent="0.3">
      <c r="B25" s="161"/>
      <c r="C25" s="162"/>
      <c r="D25" s="162"/>
      <c r="E25" s="163"/>
      <c r="F25" s="192"/>
      <c r="G25" s="192"/>
      <c r="H25" s="192"/>
      <c r="I25" s="192"/>
      <c r="J25" s="186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8"/>
      <c r="V25" s="168"/>
      <c r="W25" s="169"/>
      <c r="X25" s="169"/>
      <c r="Y25" s="170"/>
      <c r="Z25" s="193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5"/>
      <c r="AL25" s="164"/>
      <c r="AM25" s="164"/>
      <c r="AN25" s="164"/>
      <c r="AO25" s="164"/>
      <c r="AP25" s="164"/>
      <c r="AQ25" s="164"/>
      <c r="AR25" s="29"/>
    </row>
    <row r="26" spans="2:44" ht="21" customHeight="1" x14ac:dyDescent="0.3">
      <c r="B26" s="161"/>
      <c r="C26" s="162"/>
      <c r="D26" s="162"/>
      <c r="E26" s="163"/>
      <c r="F26" s="192"/>
      <c r="G26" s="192"/>
      <c r="H26" s="192"/>
      <c r="I26" s="192"/>
      <c r="J26" s="189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1"/>
      <c r="V26" s="171"/>
      <c r="W26" s="172"/>
      <c r="X26" s="172"/>
      <c r="Y26" s="173"/>
      <c r="Z26" s="199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1"/>
      <c r="AL26" s="164"/>
      <c r="AM26" s="164"/>
      <c r="AN26" s="164"/>
      <c r="AO26" s="164"/>
      <c r="AP26" s="164"/>
      <c r="AQ26" s="164"/>
      <c r="AR26" s="29"/>
    </row>
    <row r="27" spans="2:44" ht="21" customHeight="1" x14ac:dyDescent="0.3">
      <c r="B27" s="161"/>
      <c r="C27" s="162"/>
      <c r="D27" s="162"/>
      <c r="E27" s="163"/>
      <c r="F27" s="192"/>
      <c r="G27" s="192"/>
      <c r="H27" s="192"/>
      <c r="I27" s="192"/>
      <c r="J27" s="183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5"/>
      <c r="V27" s="165"/>
      <c r="W27" s="166"/>
      <c r="X27" s="166"/>
      <c r="Y27" s="167"/>
      <c r="Z27" s="196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8"/>
      <c r="AL27" s="164"/>
      <c r="AM27" s="164"/>
      <c r="AN27" s="164"/>
      <c r="AO27" s="164"/>
      <c r="AP27" s="164"/>
      <c r="AQ27" s="164"/>
      <c r="AR27" s="29"/>
    </row>
    <row r="28" spans="2:44" ht="21" customHeight="1" x14ac:dyDescent="0.3">
      <c r="B28" s="161"/>
      <c r="C28" s="162"/>
      <c r="D28" s="162"/>
      <c r="E28" s="163"/>
      <c r="F28" s="192"/>
      <c r="G28" s="192"/>
      <c r="H28" s="192"/>
      <c r="I28" s="192"/>
      <c r="J28" s="186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8"/>
      <c r="V28" s="168"/>
      <c r="W28" s="169"/>
      <c r="X28" s="169"/>
      <c r="Y28" s="170"/>
      <c r="Z28" s="193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5"/>
      <c r="AL28" s="164"/>
      <c r="AM28" s="164"/>
      <c r="AN28" s="164"/>
      <c r="AO28" s="164"/>
      <c r="AP28" s="164"/>
      <c r="AQ28" s="164"/>
      <c r="AR28" s="29"/>
    </row>
    <row r="29" spans="2:44" ht="21" customHeight="1" x14ac:dyDescent="0.3">
      <c r="B29" s="161"/>
      <c r="C29" s="162"/>
      <c r="D29" s="162"/>
      <c r="E29" s="163"/>
      <c r="F29" s="192"/>
      <c r="G29" s="192"/>
      <c r="H29" s="192"/>
      <c r="I29" s="192"/>
      <c r="J29" s="186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8"/>
      <c r="V29" s="168"/>
      <c r="W29" s="169"/>
      <c r="X29" s="169"/>
      <c r="Y29" s="170"/>
      <c r="Z29" s="193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5"/>
      <c r="AL29" s="164"/>
      <c r="AM29" s="164"/>
      <c r="AN29" s="164"/>
      <c r="AO29" s="164"/>
      <c r="AP29" s="164"/>
      <c r="AQ29" s="164"/>
      <c r="AR29" s="29"/>
    </row>
    <row r="30" spans="2:44" ht="21" customHeight="1" x14ac:dyDescent="0.3">
      <c r="B30" s="161"/>
      <c r="C30" s="162"/>
      <c r="D30" s="162"/>
      <c r="E30" s="163"/>
      <c r="F30" s="192"/>
      <c r="G30" s="192"/>
      <c r="H30" s="192"/>
      <c r="I30" s="192"/>
      <c r="J30" s="186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8"/>
      <c r="V30" s="168"/>
      <c r="W30" s="169"/>
      <c r="X30" s="169"/>
      <c r="Y30" s="170"/>
      <c r="Z30" s="193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5"/>
      <c r="AL30" s="164"/>
      <c r="AM30" s="164"/>
      <c r="AN30" s="164"/>
      <c r="AO30" s="164"/>
      <c r="AP30" s="164"/>
      <c r="AQ30" s="164"/>
      <c r="AR30" s="29"/>
    </row>
    <row r="31" spans="2:44" ht="21" customHeight="1" x14ac:dyDescent="0.3">
      <c r="B31" s="161"/>
      <c r="C31" s="162"/>
      <c r="D31" s="162"/>
      <c r="E31" s="163"/>
      <c r="F31" s="192"/>
      <c r="G31" s="192"/>
      <c r="H31" s="192"/>
      <c r="I31" s="192"/>
      <c r="J31" s="186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8"/>
      <c r="V31" s="168"/>
      <c r="W31" s="169"/>
      <c r="X31" s="169"/>
      <c r="Y31" s="170"/>
      <c r="Z31" s="193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5"/>
      <c r="AL31" s="164"/>
      <c r="AM31" s="164"/>
      <c r="AN31" s="164"/>
      <c r="AO31" s="164"/>
      <c r="AP31" s="164"/>
      <c r="AQ31" s="164"/>
      <c r="AR31" s="29"/>
    </row>
    <row r="32" spans="2:44" ht="21" customHeight="1" x14ac:dyDescent="0.3">
      <c r="B32" s="161"/>
      <c r="C32" s="162"/>
      <c r="D32" s="162"/>
      <c r="E32" s="163"/>
      <c r="F32" s="192"/>
      <c r="G32" s="192"/>
      <c r="H32" s="192"/>
      <c r="I32" s="192"/>
      <c r="J32" s="186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8"/>
      <c r="V32" s="168"/>
      <c r="W32" s="169"/>
      <c r="X32" s="169"/>
      <c r="Y32" s="170"/>
      <c r="Z32" s="193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5"/>
      <c r="AL32" s="164"/>
      <c r="AM32" s="164"/>
      <c r="AN32" s="164"/>
      <c r="AO32" s="164"/>
      <c r="AP32" s="164"/>
      <c r="AQ32" s="164"/>
      <c r="AR32" s="29"/>
    </row>
    <row r="33" spans="2:44" ht="21" customHeight="1" x14ac:dyDescent="0.3">
      <c r="B33" s="161"/>
      <c r="C33" s="162"/>
      <c r="D33" s="162"/>
      <c r="E33" s="163"/>
      <c r="F33" s="192"/>
      <c r="G33" s="192"/>
      <c r="H33" s="192"/>
      <c r="I33" s="192"/>
      <c r="J33" s="186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8"/>
      <c r="V33" s="168"/>
      <c r="W33" s="169"/>
      <c r="X33" s="169"/>
      <c r="Y33" s="170"/>
      <c r="Z33" s="193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5"/>
      <c r="AL33" s="164"/>
      <c r="AM33" s="164"/>
      <c r="AN33" s="164"/>
      <c r="AO33" s="164"/>
      <c r="AP33" s="164"/>
      <c r="AQ33" s="164"/>
      <c r="AR33" s="29"/>
    </row>
    <row r="34" spans="2:44" ht="21" customHeight="1" x14ac:dyDescent="0.3">
      <c r="B34" s="161"/>
      <c r="C34" s="162"/>
      <c r="D34" s="162"/>
      <c r="E34" s="163"/>
      <c r="F34" s="192"/>
      <c r="G34" s="192"/>
      <c r="H34" s="192"/>
      <c r="I34" s="192"/>
      <c r="J34" s="189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1"/>
      <c r="V34" s="171"/>
      <c r="W34" s="172"/>
      <c r="X34" s="172"/>
      <c r="Y34" s="173"/>
      <c r="Z34" s="199"/>
      <c r="AA34" s="200"/>
      <c r="AB34" s="200"/>
      <c r="AC34" s="200"/>
      <c r="AD34" s="200"/>
      <c r="AE34" s="200"/>
      <c r="AF34" s="200"/>
      <c r="AG34" s="200"/>
      <c r="AH34" s="200"/>
      <c r="AI34" s="200"/>
      <c r="AJ34" s="200"/>
      <c r="AK34" s="201"/>
      <c r="AL34" s="164"/>
      <c r="AM34" s="164"/>
      <c r="AN34" s="164"/>
      <c r="AO34" s="164"/>
      <c r="AP34" s="164"/>
      <c r="AQ34" s="164"/>
      <c r="AR34" s="29"/>
    </row>
    <row r="35" spans="2:44" ht="21" customHeight="1" x14ac:dyDescent="0.3">
      <c r="B35" s="161"/>
      <c r="C35" s="162"/>
      <c r="D35" s="162"/>
      <c r="E35" s="163"/>
      <c r="F35" s="192"/>
      <c r="G35" s="192"/>
      <c r="H35" s="192"/>
      <c r="I35" s="192"/>
      <c r="J35" s="183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5"/>
      <c r="V35" s="165"/>
      <c r="W35" s="166"/>
      <c r="X35" s="166"/>
      <c r="Y35" s="167"/>
      <c r="Z35" s="196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8"/>
      <c r="AL35" s="164"/>
      <c r="AM35" s="164"/>
      <c r="AN35" s="164"/>
      <c r="AO35" s="164"/>
      <c r="AP35" s="164"/>
      <c r="AQ35" s="164"/>
      <c r="AR35" s="29"/>
    </row>
    <row r="36" spans="2:44" ht="21" customHeight="1" x14ac:dyDescent="0.3">
      <c r="B36" s="161"/>
      <c r="C36" s="162"/>
      <c r="D36" s="162"/>
      <c r="E36" s="163"/>
      <c r="F36" s="192"/>
      <c r="G36" s="192"/>
      <c r="H36" s="192"/>
      <c r="I36" s="192"/>
      <c r="J36" s="186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8"/>
      <c r="V36" s="168"/>
      <c r="W36" s="169"/>
      <c r="X36" s="169"/>
      <c r="Y36" s="170"/>
      <c r="Z36" s="193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5"/>
      <c r="AL36" s="164"/>
      <c r="AM36" s="164"/>
      <c r="AN36" s="164"/>
      <c r="AO36" s="164"/>
      <c r="AP36" s="164"/>
      <c r="AQ36" s="164"/>
      <c r="AR36" s="29"/>
    </row>
    <row r="37" spans="2:44" ht="21" customHeight="1" x14ac:dyDescent="0.3">
      <c r="B37" s="161"/>
      <c r="C37" s="162"/>
      <c r="D37" s="162"/>
      <c r="E37" s="163"/>
      <c r="F37" s="192"/>
      <c r="G37" s="192"/>
      <c r="H37" s="192"/>
      <c r="I37" s="192"/>
      <c r="J37" s="186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8"/>
      <c r="V37" s="168"/>
      <c r="W37" s="169"/>
      <c r="X37" s="169"/>
      <c r="Y37" s="170"/>
      <c r="Z37" s="193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5"/>
      <c r="AL37" s="164"/>
      <c r="AM37" s="164"/>
      <c r="AN37" s="164"/>
      <c r="AO37" s="164"/>
      <c r="AP37" s="164"/>
      <c r="AQ37" s="164"/>
      <c r="AR37" s="29"/>
    </row>
    <row r="38" spans="2:44" ht="21" customHeight="1" x14ac:dyDescent="0.3">
      <c r="B38" s="161"/>
      <c r="C38" s="162"/>
      <c r="D38" s="162"/>
      <c r="E38" s="163"/>
      <c r="F38" s="192"/>
      <c r="G38" s="192"/>
      <c r="H38" s="192"/>
      <c r="I38" s="192"/>
      <c r="J38" s="186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8"/>
      <c r="V38" s="168"/>
      <c r="W38" s="169"/>
      <c r="X38" s="169"/>
      <c r="Y38" s="170"/>
      <c r="Z38" s="193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5"/>
      <c r="AL38" s="164"/>
      <c r="AM38" s="164"/>
      <c r="AN38" s="164"/>
      <c r="AO38" s="164"/>
      <c r="AP38" s="164"/>
      <c r="AQ38" s="164"/>
      <c r="AR38" s="29"/>
    </row>
    <row r="39" spans="2:44" ht="21" customHeight="1" x14ac:dyDescent="0.3">
      <c r="B39" s="161"/>
      <c r="C39" s="162"/>
      <c r="D39" s="162"/>
      <c r="E39" s="163"/>
      <c r="F39" s="192"/>
      <c r="G39" s="192"/>
      <c r="H39" s="192"/>
      <c r="I39" s="192"/>
      <c r="J39" s="186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8"/>
      <c r="V39" s="168"/>
      <c r="W39" s="169"/>
      <c r="X39" s="169"/>
      <c r="Y39" s="170"/>
      <c r="Z39" s="193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5"/>
      <c r="AL39" s="164"/>
      <c r="AM39" s="164"/>
      <c r="AN39" s="164"/>
      <c r="AO39" s="164"/>
      <c r="AP39" s="164"/>
      <c r="AQ39" s="164"/>
      <c r="AR39" s="29"/>
    </row>
    <row r="40" spans="2:44" ht="21" customHeight="1" x14ac:dyDescent="0.3">
      <c r="B40" s="161"/>
      <c r="C40" s="162"/>
      <c r="D40" s="162"/>
      <c r="E40" s="163"/>
      <c r="F40" s="192"/>
      <c r="G40" s="192"/>
      <c r="H40" s="192"/>
      <c r="I40" s="192"/>
      <c r="J40" s="186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8"/>
      <c r="V40" s="168"/>
      <c r="W40" s="169"/>
      <c r="X40" s="169"/>
      <c r="Y40" s="170"/>
      <c r="Z40" s="193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5"/>
      <c r="AL40" s="164"/>
      <c r="AM40" s="164"/>
      <c r="AN40" s="164"/>
      <c r="AO40" s="164"/>
      <c r="AP40" s="164"/>
      <c r="AQ40" s="164"/>
      <c r="AR40" s="29"/>
    </row>
    <row r="41" spans="2:44" ht="21" customHeight="1" x14ac:dyDescent="0.3">
      <c r="B41" s="161"/>
      <c r="C41" s="162"/>
      <c r="D41" s="162"/>
      <c r="E41" s="163"/>
      <c r="F41" s="192"/>
      <c r="G41" s="192"/>
      <c r="H41" s="192"/>
      <c r="I41" s="192"/>
      <c r="J41" s="186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8"/>
      <c r="V41" s="168"/>
      <c r="W41" s="169"/>
      <c r="X41" s="169"/>
      <c r="Y41" s="170"/>
      <c r="Z41" s="193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5"/>
      <c r="AL41" s="164"/>
      <c r="AM41" s="164"/>
      <c r="AN41" s="164"/>
      <c r="AO41" s="164"/>
      <c r="AP41" s="164"/>
      <c r="AQ41" s="164"/>
      <c r="AR41" s="29"/>
    </row>
    <row r="42" spans="2:44" ht="21" customHeight="1" x14ac:dyDescent="0.3">
      <c r="B42" s="161"/>
      <c r="C42" s="162"/>
      <c r="D42" s="162"/>
      <c r="E42" s="163"/>
      <c r="F42" s="192"/>
      <c r="G42" s="192"/>
      <c r="H42" s="192"/>
      <c r="I42" s="192"/>
      <c r="J42" s="189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1"/>
      <c r="V42" s="171"/>
      <c r="W42" s="172"/>
      <c r="X42" s="172"/>
      <c r="Y42" s="173"/>
      <c r="Z42" s="199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1"/>
      <c r="AL42" s="164"/>
      <c r="AM42" s="164"/>
      <c r="AN42" s="164"/>
      <c r="AO42" s="164"/>
      <c r="AP42" s="164"/>
      <c r="AQ42" s="164"/>
      <c r="AR42" s="29"/>
    </row>
    <row r="43" spans="2:44" ht="21" customHeight="1" x14ac:dyDescent="0.3">
      <c r="B43" s="161"/>
      <c r="C43" s="162"/>
      <c r="D43" s="162"/>
      <c r="E43" s="163"/>
      <c r="F43" s="192"/>
      <c r="G43" s="192"/>
      <c r="H43" s="192"/>
      <c r="I43" s="192"/>
      <c r="J43" s="183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5"/>
      <c r="V43" s="165"/>
      <c r="W43" s="166"/>
      <c r="X43" s="166"/>
      <c r="Y43" s="167"/>
      <c r="Z43" s="196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8"/>
      <c r="AL43" s="164"/>
      <c r="AM43" s="164"/>
      <c r="AN43" s="164"/>
      <c r="AO43" s="164"/>
      <c r="AP43" s="164"/>
      <c r="AQ43" s="164"/>
      <c r="AR43" s="29"/>
    </row>
    <row r="44" spans="2:44" ht="21" customHeight="1" x14ac:dyDescent="0.3">
      <c r="B44" s="161"/>
      <c r="C44" s="162"/>
      <c r="D44" s="162"/>
      <c r="E44" s="163"/>
      <c r="F44" s="192"/>
      <c r="G44" s="192"/>
      <c r="H44" s="192"/>
      <c r="I44" s="192"/>
      <c r="J44" s="186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8"/>
      <c r="V44" s="168"/>
      <c r="W44" s="169"/>
      <c r="X44" s="169"/>
      <c r="Y44" s="170"/>
      <c r="Z44" s="193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5"/>
      <c r="AL44" s="164"/>
      <c r="AM44" s="164"/>
      <c r="AN44" s="164"/>
      <c r="AO44" s="164"/>
      <c r="AP44" s="164"/>
      <c r="AQ44" s="164"/>
      <c r="AR44" s="29"/>
    </row>
    <row r="45" spans="2:44" ht="21" customHeight="1" x14ac:dyDescent="0.3">
      <c r="B45" s="161"/>
      <c r="C45" s="162"/>
      <c r="D45" s="162"/>
      <c r="E45" s="163"/>
      <c r="F45" s="192"/>
      <c r="G45" s="192"/>
      <c r="H45" s="192"/>
      <c r="I45" s="192"/>
      <c r="J45" s="186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8"/>
      <c r="V45" s="168"/>
      <c r="W45" s="169"/>
      <c r="X45" s="169"/>
      <c r="Y45" s="170"/>
      <c r="Z45" s="193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5"/>
      <c r="AL45" s="164"/>
      <c r="AM45" s="164"/>
      <c r="AN45" s="164"/>
      <c r="AO45" s="164"/>
      <c r="AP45" s="164"/>
      <c r="AQ45" s="164"/>
      <c r="AR45" s="29"/>
    </row>
    <row r="46" spans="2:44" ht="21" customHeight="1" x14ac:dyDescent="0.3">
      <c r="B46" s="161"/>
      <c r="C46" s="162"/>
      <c r="D46" s="162"/>
      <c r="E46" s="163"/>
      <c r="F46" s="192"/>
      <c r="G46" s="192"/>
      <c r="H46" s="192"/>
      <c r="I46" s="192"/>
      <c r="J46" s="186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8"/>
      <c r="V46" s="168"/>
      <c r="W46" s="169"/>
      <c r="X46" s="169"/>
      <c r="Y46" s="170"/>
      <c r="Z46" s="193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5"/>
      <c r="AL46" s="164"/>
      <c r="AM46" s="164"/>
      <c r="AN46" s="164"/>
      <c r="AO46" s="164"/>
      <c r="AP46" s="164"/>
      <c r="AQ46" s="164"/>
      <c r="AR46" s="29"/>
    </row>
    <row r="47" spans="2:44" ht="21" customHeight="1" x14ac:dyDescent="0.3">
      <c r="B47" s="161"/>
      <c r="C47" s="162"/>
      <c r="D47" s="162"/>
      <c r="E47" s="163"/>
      <c r="F47" s="192"/>
      <c r="G47" s="192"/>
      <c r="H47" s="192"/>
      <c r="I47" s="192"/>
      <c r="J47" s="186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8"/>
      <c r="V47" s="168"/>
      <c r="W47" s="169"/>
      <c r="X47" s="169"/>
      <c r="Y47" s="170"/>
      <c r="Z47" s="193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5"/>
      <c r="AL47" s="164"/>
      <c r="AM47" s="164"/>
      <c r="AN47" s="164"/>
      <c r="AO47" s="164"/>
      <c r="AP47" s="164"/>
      <c r="AQ47" s="164"/>
      <c r="AR47" s="29"/>
    </row>
    <row r="48" spans="2:44" ht="21" customHeight="1" x14ac:dyDescent="0.3">
      <c r="B48" s="161"/>
      <c r="C48" s="162"/>
      <c r="D48" s="162"/>
      <c r="E48" s="163"/>
      <c r="F48" s="192"/>
      <c r="G48" s="192"/>
      <c r="H48" s="192"/>
      <c r="I48" s="192"/>
      <c r="J48" s="186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8"/>
      <c r="V48" s="168"/>
      <c r="W48" s="169"/>
      <c r="X48" s="169"/>
      <c r="Y48" s="170"/>
      <c r="Z48" s="193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5"/>
      <c r="AL48" s="164"/>
      <c r="AM48" s="164"/>
      <c r="AN48" s="164"/>
      <c r="AO48" s="164"/>
      <c r="AP48" s="164"/>
      <c r="AQ48" s="164"/>
      <c r="AR48" s="29"/>
    </row>
    <row r="49" spans="2:44" ht="21" customHeight="1" x14ac:dyDescent="0.3">
      <c r="B49" s="161"/>
      <c r="C49" s="162"/>
      <c r="D49" s="162"/>
      <c r="E49" s="163"/>
      <c r="F49" s="192"/>
      <c r="G49" s="192"/>
      <c r="H49" s="192"/>
      <c r="I49" s="192"/>
      <c r="J49" s="186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8"/>
      <c r="V49" s="168"/>
      <c r="W49" s="169"/>
      <c r="X49" s="169"/>
      <c r="Y49" s="170"/>
      <c r="Z49" s="193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5"/>
      <c r="AL49" s="164"/>
      <c r="AM49" s="164"/>
      <c r="AN49" s="164"/>
      <c r="AO49" s="164"/>
      <c r="AP49" s="164"/>
      <c r="AQ49" s="164"/>
      <c r="AR49" s="29"/>
    </row>
    <row r="50" spans="2:44" ht="21" customHeight="1" x14ac:dyDescent="0.3">
      <c r="B50" s="161"/>
      <c r="C50" s="162"/>
      <c r="D50" s="162"/>
      <c r="E50" s="163"/>
      <c r="F50" s="192"/>
      <c r="G50" s="192"/>
      <c r="H50" s="192"/>
      <c r="I50" s="192"/>
      <c r="J50" s="189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1"/>
      <c r="V50" s="171"/>
      <c r="W50" s="172"/>
      <c r="X50" s="172"/>
      <c r="Y50" s="173"/>
      <c r="Z50" s="199"/>
      <c r="AA50" s="200"/>
      <c r="AB50" s="200"/>
      <c r="AC50" s="200"/>
      <c r="AD50" s="200"/>
      <c r="AE50" s="200"/>
      <c r="AF50" s="200"/>
      <c r="AG50" s="200"/>
      <c r="AH50" s="200"/>
      <c r="AI50" s="200"/>
      <c r="AJ50" s="200"/>
      <c r="AK50" s="201"/>
      <c r="AL50" s="164"/>
      <c r="AM50" s="164"/>
      <c r="AN50" s="164"/>
      <c r="AO50" s="164"/>
      <c r="AP50" s="164"/>
      <c r="AQ50" s="164"/>
      <c r="AR50" s="29"/>
    </row>
    <row r="51" spans="2:44" ht="21" customHeight="1" x14ac:dyDescent="0.3">
      <c r="B51" s="161"/>
      <c r="C51" s="162"/>
      <c r="D51" s="162"/>
      <c r="E51" s="163"/>
      <c r="F51" s="192"/>
      <c r="G51" s="192"/>
      <c r="H51" s="192"/>
      <c r="I51" s="192"/>
      <c r="J51" s="183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5"/>
      <c r="V51" s="165"/>
      <c r="W51" s="166"/>
      <c r="X51" s="166"/>
      <c r="Y51" s="167"/>
      <c r="Z51" s="196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8"/>
      <c r="AL51" s="164"/>
      <c r="AM51" s="164"/>
      <c r="AN51" s="164"/>
      <c r="AO51" s="164"/>
      <c r="AP51" s="164"/>
      <c r="AQ51" s="164"/>
      <c r="AR51" s="29"/>
    </row>
    <row r="52" spans="2:44" ht="21" customHeight="1" x14ac:dyDescent="0.3">
      <c r="B52" s="161"/>
      <c r="C52" s="162"/>
      <c r="D52" s="162"/>
      <c r="E52" s="163"/>
      <c r="F52" s="192"/>
      <c r="G52" s="192"/>
      <c r="H52" s="192"/>
      <c r="I52" s="192"/>
      <c r="J52" s="186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8"/>
      <c r="V52" s="168"/>
      <c r="W52" s="169"/>
      <c r="X52" s="169"/>
      <c r="Y52" s="170"/>
      <c r="Z52" s="193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5"/>
      <c r="AL52" s="164"/>
      <c r="AM52" s="164"/>
      <c r="AN52" s="164"/>
      <c r="AO52" s="164"/>
      <c r="AP52" s="164"/>
      <c r="AQ52" s="164"/>
      <c r="AR52" s="29"/>
    </row>
    <row r="53" spans="2:44" ht="21" customHeight="1" x14ac:dyDescent="0.3">
      <c r="B53" s="161"/>
      <c r="C53" s="162"/>
      <c r="D53" s="162"/>
      <c r="E53" s="163"/>
      <c r="F53" s="192"/>
      <c r="G53" s="192"/>
      <c r="H53" s="192"/>
      <c r="I53" s="192"/>
      <c r="J53" s="186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8"/>
      <c r="V53" s="168"/>
      <c r="W53" s="169"/>
      <c r="X53" s="169"/>
      <c r="Y53" s="170"/>
      <c r="Z53" s="193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5"/>
      <c r="AL53" s="164"/>
      <c r="AM53" s="164"/>
      <c r="AN53" s="164"/>
      <c r="AO53" s="164"/>
      <c r="AP53" s="164"/>
      <c r="AQ53" s="164"/>
      <c r="AR53" s="29"/>
    </row>
    <row r="54" spans="2:44" ht="21" customHeight="1" x14ac:dyDescent="0.3">
      <c r="B54" s="161"/>
      <c r="C54" s="162"/>
      <c r="D54" s="162"/>
      <c r="E54" s="163"/>
      <c r="F54" s="192"/>
      <c r="G54" s="192"/>
      <c r="H54" s="192"/>
      <c r="I54" s="192"/>
      <c r="J54" s="186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8"/>
      <c r="V54" s="168"/>
      <c r="W54" s="169"/>
      <c r="X54" s="169"/>
      <c r="Y54" s="170"/>
      <c r="Z54" s="193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5"/>
      <c r="AL54" s="164"/>
      <c r="AM54" s="164"/>
      <c r="AN54" s="164"/>
      <c r="AO54" s="164"/>
      <c r="AP54" s="164"/>
      <c r="AQ54" s="164"/>
      <c r="AR54" s="29"/>
    </row>
    <row r="55" spans="2:44" ht="21" customHeight="1" x14ac:dyDescent="0.3">
      <c r="B55" s="161"/>
      <c r="C55" s="162"/>
      <c r="D55" s="162"/>
      <c r="E55" s="163"/>
      <c r="F55" s="192"/>
      <c r="G55" s="192"/>
      <c r="H55" s="192"/>
      <c r="I55" s="192"/>
      <c r="J55" s="186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8"/>
      <c r="V55" s="168"/>
      <c r="W55" s="169"/>
      <c r="X55" s="169"/>
      <c r="Y55" s="170"/>
      <c r="Z55" s="193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5"/>
      <c r="AL55" s="164"/>
      <c r="AM55" s="164"/>
      <c r="AN55" s="164"/>
      <c r="AO55" s="164"/>
      <c r="AP55" s="164"/>
      <c r="AQ55" s="164"/>
      <c r="AR55" s="29"/>
    </row>
    <row r="56" spans="2:44" ht="21" customHeight="1" x14ac:dyDescent="0.3">
      <c r="B56" s="161"/>
      <c r="C56" s="162"/>
      <c r="D56" s="162"/>
      <c r="E56" s="163"/>
      <c r="F56" s="192"/>
      <c r="G56" s="192"/>
      <c r="H56" s="192"/>
      <c r="I56" s="192"/>
      <c r="J56" s="186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8"/>
      <c r="V56" s="168"/>
      <c r="W56" s="169"/>
      <c r="X56" s="169"/>
      <c r="Y56" s="170"/>
      <c r="Z56" s="193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5"/>
      <c r="AL56" s="164"/>
      <c r="AM56" s="164"/>
      <c r="AN56" s="164"/>
      <c r="AO56" s="164"/>
      <c r="AP56" s="164"/>
      <c r="AQ56" s="164"/>
      <c r="AR56" s="29"/>
    </row>
    <row r="57" spans="2:44" ht="21" customHeight="1" x14ac:dyDescent="0.3">
      <c r="B57" s="161"/>
      <c r="C57" s="162"/>
      <c r="D57" s="162"/>
      <c r="E57" s="163"/>
      <c r="F57" s="192"/>
      <c r="G57" s="192"/>
      <c r="H57" s="192"/>
      <c r="I57" s="192"/>
      <c r="J57" s="186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8"/>
      <c r="V57" s="168"/>
      <c r="W57" s="169"/>
      <c r="X57" s="169"/>
      <c r="Y57" s="170"/>
      <c r="Z57" s="193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5"/>
      <c r="AL57" s="164"/>
      <c r="AM57" s="164"/>
      <c r="AN57" s="164"/>
      <c r="AO57" s="164"/>
      <c r="AP57" s="164"/>
      <c r="AQ57" s="164"/>
      <c r="AR57" s="29"/>
    </row>
    <row r="58" spans="2:44" ht="21" customHeight="1" x14ac:dyDescent="0.3">
      <c r="B58" s="161"/>
      <c r="C58" s="162"/>
      <c r="D58" s="162"/>
      <c r="E58" s="163"/>
      <c r="F58" s="192"/>
      <c r="G58" s="192"/>
      <c r="H58" s="192"/>
      <c r="I58" s="192"/>
      <c r="J58" s="189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1"/>
      <c r="V58" s="171"/>
      <c r="W58" s="172"/>
      <c r="X58" s="172"/>
      <c r="Y58" s="173"/>
      <c r="Z58" s="199"/>
      <c r="AA58" s="200"/>
      <c r="AB58" s="200"/>
      <c r="AC58" s="200"/>
      <c r="AD58" s="200"/>
      <c r="AE58" s="200"/>
      <c r="AF58" s="200"/>
      <c r="AG58" s="200"/>
      <c r="AH58" s="200"/>
      <c r="AI58" s="200"/>
      <c r="AJ58" s="200"/>
      <c r="AK58" s="201"/>
      <c r="AL58" s="164"/>
      <c r="AM58" s="164"/>
      <c r="AN58" s="164"/>
      <c r="AO58" s="164"/>
      <c r="AP58" s="164"/>
      <c r="AQ58" s="164"/>
      <c r="AR58" s="29"/>
    </row>
    <row r="59" spans="2:44" ht="21" customHeight="1" x14ac:dyDescent="0.3">
      <c r="B59" s="161"/>
      <c r="C59" s="162"/>
      <c r="D59" s="162"/>
      <c r="E59" s="163"/>
      <c r="F59" s="192"/>
      <c r="G59" s="192"/>
      <c r="H59" s="192"/>
      <c r="I59" s="192"/>
      <c r="J59" s="183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5"/>
      <c r="V59" s="165"/>
      <c r="W59" s="166"/>
      <c r="X59" s="166"/>
      <c r="Y59" s="167"/>
      <c r="Z59" s="196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8"/>
      <c r="AL59" s="164"/>
      <c r="AM59" s="164"/>
      <c r="AN59" s="164"/>
      <c r="AO59" s="164"/>
      <c r="AP59" s="164"/>
      <c r="AQ59" s="164"/>
      <c r="AR59" s="29"/>
    </row>
    <row r="60" spans="2:44" ht="21" customHeight="1" x14ac:dyDescent="0.3">
      <c r="B60" s="161"/>
      <c r="C60" s="162"/>
      <c r="D60" s="162"/>
      <c r="E60" s="163"/>
      <c r="F60" s="192"/>
      <c r="G60" s="192"/>
      <c r="H60" s="192"/>
      <c r="I60" s="192"/>
      <c r="J60" s="186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8"/>
      <c r="V60" s="168"/>
      <c r="W60" s="169"/>
      <c r="X60" s="169"/>
      <c r="Y60" s="170"/>
      <c r="Z60" s="193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5"/>
      <c r="AL60" s="164"/>
      <c r="AM60" s="164"/>
      <c r="AN60" s="164"/>
      <c r="AO60" s="164"/>
      <c r="AP60" s="164"/>
      <c r="AQ60" s="164"/>
      <c r="AR60" s="29"/>
    </row>
    <row r="61" spans="2:44" ht="21" customHeight="1" x14ac:dyDescent="0.3">
      <c r="B61" s="161"/>
      <c r="C61" s="162"/>
      <c r="D61" s="162"/>
      <c r="E61" s="163"/>
      <c r="F61" s="192"/>
      <c r="G61" s="192"/>
      <c r="H61" s="192"/>
      <c r="I61" s="192"/>
      <c r="J61" s="186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8"/>
      <c r="V61" s="168"/>
      <c r="W61" s="169"/>
      <c r="X61" s="169"/>
      <c r="Y61" s="170"/>
      <c r="Z61" s="193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5"/>
      <c r="AL61" s="164"/>
      <c r="AM61" s="164"/>
      <c r="AN61" s="164"/>
      <c r="AO61" s="164"/>
      <c r="AP61" s="164"/>
      <c r="AQ61" s="164"/>
      <c r="AR61" s="29"/>
    </row>
    <row r="62" spans="2:44" ht="21" customHeight="1" x14ac:dyDescent="0.3">
      <c r="B62" s="161"/>
      <c r="C62" s="162"/>
      <c r="D62" s="162"/>
      <c r="E62" s="163"/>
      <c r="F62" s="192"/>
      <c r="G62" s="192"/>
      <c r="H62" s="192"/>
      <c r="I62" s="192"/>
      <c r="J62" s="186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8"/>
      <c r="V62" s="168"/>
      <c r="W62" s="169"/>
      <c r="X62" s="169"/>
      <c r="Y62" s="170"/>
      <c r="Z62" s="193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5"/>
      <c r="AL62" s="164"/>
      <c r="AM62" s="164"/>
      <c r="AN62" s="164"/>
      <c r="AO62" s="164"/>
      <c r="AP62" s="164"/>
      <c r="AQ62" s="164"/>
      <c r="AR62" s="29"/>
    </row>
    <row r="63" spans="2:44" ht="21" customHeight="1" x14ac:dyDescent="0.3">
      <c r="B63" s="161"/>
      <c r="C63" s="162"/>
      <c r="D63" s="162"/>
      <c r="E63" s="163"/>
      <c r="F63" s="192"/>
      <c r="G63" s="192"/>
      <c r="H63" s="192"/>
      <c r="I63" s="192"/>
      <c r="J63" s="186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8"/>
      <c r="V63" s="168"/>
      <c r="W63" s="169"/>
      <c r="X63" s="169"/>
      <c r="Y63" s="170"/>
      <c r="Z63" s="193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5"/>
      <c r="AL63" s="164"/>
      <c r="AM63" s="164"/>
      <c r="AN63" s="164"/>
      <c r="AO63" s="164"/>
      <c r="AP63" s="164"/>
      <c r="AQ63" s="164"/>
      <c r="AR63" s="29"/>
    </row>
    <row r="64" spans="2:44" ht="21" customHeight="1" x14ac:dyDescent="0.3">
      <c r="B64" s="161"/>
      <c r="C64" s="162"/>
      <c r="D64" s="162"/>
      <c r="E64" s="163"/>
      <c r="F64" s="192"/>
      <c r="G64" s="192"/>
      <c r="H64" s="192"/>
      <c r="I64" s="192"/>
      <c r="J64" s="186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8"/>
      <c r="V64" s="168"/>
      <c r="W64" s="169"/>
      <c r="X64" s="169"/>
      <c r="Y64" s="170"/>
      <c r="Z64" s="193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5"/>
      <c r="AL64" s="164"/>
      <c r="AM64" s="164"/>
      <c r="AN64" s="164"/>
      <c r="AO64" s="164"/>
      <c r="AP64" s="164"/>
      <c r="AQ64" s="164"/>
      <c r="AR64" s="29"/>
    </row>
    <row r="65" spans="2:44" ht="21" customHeight="1" x14ac:dyDescent="0.3">
      <c r="B65" s="161"/>
      <c r="C65" s="162"/>
      <c r="D65" s="162"/>
      <c r="E65" s="163"/>
      <c r="F65" s="192"/>
      <c r="G65" s="192"/>
      <c r="H65" s="192"/>
      <c r="I65" s="192"/>
      <c r="J65" s="186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8"/>
      <c r="V65" s="168"/>
      <c r="W65" s="169"/>
      <c r="X65" s="169"/>
      <c r="Y65" s="170"/>
      <c r="Z65" s="193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5"/>
      <c r="AL65" s="164"/>
      <c r="AM65" s="164"/>
      <c r="AN65" s="164"/>
      <c r="AO65" s="164"/>
      <c r="AP65" s="164"/>
      <c r="AQ65" s="164"/>
      <c r="AR65" s="29"/>
    </row>
    <row r="66" spans="2:44" ht="21" customHeight="1" x14ac:dyDescent="0.3">
      <c r="B66" s="161"/>
      <c r="C66" s="162"/>
      <c r="D66" s="162"/>
      <c r="E66" s="163"/>
      <c r="F66" s="192"/>
      <c r="G66" s="192"/>
      <c r="H66" s="192"/>
      <c r="I66" s="192"/>
      <c r="J66" s="189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1"/>
      <c r="V66" s="171"/>
      <c r="W66" s="172"/>
      <c r="X66" s="172"/>
      <c r="Y66" s="173"/>
      <c r="Z66" s="199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1"/>
      <c r="AL66" s="164"/>
      <c r="AM66" s="164"/>
      <c r="AN66" s="164"/>
      <c r="AO66" s="164"/>
      <c r="AP66" s="164"/>
      <c r="AQ66" s="164"/>
      <c r="AR66" s="29"/>
    </row>
    <row r="67" spans="2:44" ht="21" customHeight="1" x14ac:dyDescent="0.3">
      <c r="B67" s="161"/>
      <c r="C67" s="162"/>
      <c r="D67" s="162"/>
      <c r="E67" s="163"/>
      <c r="F67" s="192"/>
      <c r="G67" s="192"/>
      <c r="H67" s="192"/>
      <c r="I67" s="192"/>
      <c r="J67" s="183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5"/>
      <c r="V67" s="165"/>
      <c r="W67" s="166"/>
      <c r="X67" s="166"/>
      <c r="Y67" s="167"/>
      <c r="Z67" s="196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8"/>
      <c r="AL67" s="164"/>
      <c r="AM67" s="164"/>
      <c r="AN67" s="164"/>
      <c r="AO67" s="164"/>
      <c r="AP67" s="164"/>
      <c r="AQ67" s="164"/>
      <c r="AR67" s="29"/>
    </row>
    <row r="68" spans="2:44" ht="21" customHeight="1" x14ac:dyDescent="0.3">
      <c r="B68" s="161"/>
      <c r="C68" s="162"/>
      <c r="D68" s="162"/>
      <c r="E68" s="163"/>
      <c r="F68" s="192"/>
      <c r="G68" s="192"/>
      <c r="H68" s="192"/>
      <c r="I68" s="192"/>
      <c r="J68" s="186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8"/>
      <c r="V68" s="168"/>
      <c r="W68" s="169"/>
      <c r="X68" s="169"/>
      <c r="Y68" s="170"/>
      <c r="Z68" s="193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5"/>
      <c r="AL68" s="164"/>
      <c r="AM68" s="164"/>
      <c r="AN68" s="164"/>
      <c r="AO68" s="164"/>
      <c r="AP68" s="164"/>
      <c r="AQ68" s="164"/>
      <c r="AR68" s="29"/>
    </row>
    <row r="69" spans="2:44" ht="21" customHeight="1" x14ac:dyDescent="0.3">
      <c r="B69" s="161"/>
      <c r="C69" s="162"/>
      <c r="D69" s="162"/>
      <c r="E69" s="163"/>
      <c r="F69" s="192"/>
      <c r="G69" s="192"/>
      <c r="H69" s="192"/>
      <c r="I69" s="192"/>
      <c r="J69" s="186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8"/>
      <c r="V69" s="168"/>
      <c r="W69" s="169"/>
      <c r="X69" s="169"/>
      <c r="Y69" s="170"/>
      <c r="Z69" s="193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5"/>
      <c r="AL69" s="164"/>
      <c r="AM69" s="164"/>
      <c r="AN69" s="164"/>
      <c r="AO69" s="164"/>
      <c r="AP69" s="164"/>
      <c r="AQ69" s="164"/>
      <c r="AR69" s="29"/>
    </row>
    <row r="70" spans="2:44" ht="21" customHeight="1" x14ac:dyDescent="0.3">
      <c r="B70" s="161"/>
      <c r="C70" s="162"/>
      <c r="D70" s="162"/>
      <c r="E70" s="163"/>
      <c r="F70" s="192"/>
      <c r="G70" s="192"/>
      <c r="H70" s="192"/>
      <c r="I70" s="192"/>
      <c r="J70" s="186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8"/>
      <c r="V70" s="168"/>
      <c r="W70" s="169"/>
      <c r="X70" s="169"/>
      <c r="Y70" s="170"/>
      <c r="Z70" s="193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5"/>
      <c r="AL70" s="164"/>
      <c r="AM70" s="164"/>
      <c r="AN70" s="164"/>
      <c r="AO70" s="164"/>
      <c r="AP70" s="164"/>
      <c r="AQ70" s="164"/>
      <c r="AR70" s="29"/>
    </row>
    <row r="71" spans="2:44" ht="21" customHeight="1" x14ac:dyDescent="0.3">
      <c r="B71" s="161"/>
      <c r="C71" s="162"/>
      <c r="D71" s="162"/>
      <c r="E71" s="163"/>
      <c r="F71" s="192"/>
      <c r="G71" s="192"/>
      <c r="H71" s="192"/>
      <c r="I71" s="192"/>
      <c r="J71" s="186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8"/>
      <c r="V71" s="168"/>
      <c r="W71" s="169"/>
      <c r="X71" s="169"/>
      <c r="Y71" s="170"/>
      <c r="Z71" s="193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5"/>
      <c r="AL71" s="164"/>
      <c r="AM71" s="164"/>
      <c r="AN71" s="164"/>
      <c r="AO71" s="164"/>
      <c r="AP71" s="164"/>
      <c r="AQ71" s="164"/>
      <c r="AR71" s="29"/>
    </row>
    <row r="72" spans="2:44" ht="21" customHeight="1" x14ac:dyDescent="0.3">
      <c r="B72" s="161"/>
      <c r="C72" s="162"/>
      <c r="D72" s="162"/>
      <c r="E72" s="163"/>
      <c r="F72" s="192"/>
      <c r="G72" s="192"/>
      <c r="H72" s="192"/>
      <c r="I72" s="192"/>
      <c r="J72" s="186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8"/>
      <c r="V72" s="168"/>
      <c r="W72" s="169"/>
      <c r="X72" s="169"/>
      <c r="Y72" s="170"/>
      <c r="Z72" s="193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5"/>
      <c r="AL72" s="164"/>
      <c r="AM72" s="164"/>
      <c r="AN72" s="164"/>
      <c r="AO72" s="164"/>
      <c r="AP72" s="164"/>
      <c r="AQ72" s="164"/>
      <c r="AR72" s="29"/>
    </row>
    <row r="73" spans="2:44" ht="21" customHeight="1" x14ac:dyDescent="0.3">
      <c r="B73" s="161"/>
      <c r="C73" s="162"/>
      <c r="D73" s="162"/>
      <c r="E73" s="163"/>
      <c r="F73" s="192"/>
      <c r="G73" s="192"/>
      <c r="H73" s="192"/>
      <c r="I73" s="192"/>
      <c r="J73" s="186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8"/>
      <c r="V73" s="168"/>
      <c r="W73" s="169"/>
      <c r="X73" s="169"/>
      <c r="Y73" s="170"/>
      <c r="Z73" s="193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5"/>
      <c r="AL73" s="164"/>
      <c r="AM73" s="164"/>
      <c r="AN73" s="164"/>
      <c r="AO73" s="164"/>
      <c r="AP73" s="164"/>
      <c r="AQ73" s="164"/>
      <c r="AR73" s="29"/>
    </row>
    <row r="74" spans="2:44" ht="21" customHeight="1" x14ac:dyDescent="0.3">
      <c r="B74" s="161"/>
      <c r="C74" s="162"/>
      <c r="D74" s="162"/>
      <c r="E74" s="163"/>
      <c r="F74" s="192"/>
      <c r="G74" s="192"/>
      <c r="H74" s="192"/>
      <c r="I74" s="192"/>
      <c r="J74" s="189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1"/>
      <c r="V74" s="171"/>
      <c r="W74" s="172"/>
      <c r="X74" s="172"/>
      <c r="Y74" s="173"/>
      <c r="Z74" s="199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1"/>
      <c r="AL74" s="164"/>
      <c r="AM74" s="164"/>
      <c r="AN74" s="164"/>
      <c r="AO74" s="164"/>
      <c r="AP74" s="164"/>
      <c r="AQ74" s="164"/>
      <c r="AR74" s="29"/>
    </row>
    <row r="75" spans="2:44" ht="21" customHeight="1" x14ac:dyDescent="0.3">
      <c r="B75" s="161"/>
      <c r="C75" s="162"/>
      <c r="D75" s="162"/>
      <c r="E75" s="163"/>
      <c r="F75" s="192"/>
      <c r="G75" s="192"/>
      <c r="H75" s="192"/>
      <c r="I75" s="192"/>
      <c r="J75" s="183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5"/>
      <c r="V75" s="165"/>
      <c r="W75" s="166"/>
      <c r="X75" s="166"/>
      <c r="Y75" s="167"/>
      <c r="Z75" s="196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8"/>
      <c r="AL75" s="164"/>
      <c r="AM75" s="164"/>
      <c r="AN75" s="164"/>
      <c r="AO75" s="164"/>
      <c r="AP75" s="164"/>
      <c r="AQ75" s="164"/>
      <c r="AR75" s="29"/>
    </row>
    <row r="76" spans="2:44" ht="21" customHeight="1" x14ac:dyDescent="0.3">
      <c r="B76" s="161"/>
      <c r="C76" s="162"/>
      <c r="D76" s="162"/>
      <c r="E76" s="163"/>
      <c r="F76" s="192"/>
      <c r="G76" s="192"/>
      <c r="H76" s="192"/>
      <c r="I76" s="192"/>
      <c r="J76" s="186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8"/>
      <c r="V76" s="168"/>
      <c r="W76" s="169"/>
      <c r="X76" s="169"/>
      <c r="Y76" s="170"/>
      <c r="Z76" s="193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5"/>
      <c r="AL76" s="164"/>
      <c r="AM76" s="164"/>
      <c r="AN76" s="164"/>
      <c r="AO76" s="164"/>
      <c r="AP76" s="164"/>
      <c r="AQ76" s="164"/>
      <c r="AR76" s="29"/>
    </row>
    <row r="77" spans="2:44" ht="21" customHeight="1" x14ac:dyDescent="0.3">
      <c r="B77" s="161"/>
      <c r="C77" s="162"/>
      <c r="D77" s="162"/>
      <c r="E77" s="163"/>
      <c r="F77" s="192"/>
      <c r="G77" s="192"/>
      <c r="H77" s="192"/>
      <c r="I77" s="192"/>
      <c r="J77" s="186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8"/>
      <c r="V77" s="168"/>
      <c r="W77" s="169"/>
      <c r="X77" s="169"/>
      <c r="Y77" s="170"/>
      <c r="Z77" s="193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5"/>
      <c r="AL77" s="164"/>
      <c r="AM77" s="164"/>
      <c r="AN77" s="164"/>
      <c r="AO77" s="164"/>
      <c r="AP77" s="164"/>
      <c r="AQ77" s="164"/>
      <c r="AR77" s="29"/>
    </row>
    <row r="78" spans="2:44" ht="21" customHeight="1" x14ac:dyDescent="0.3">
      <c r="B78" s="161"/>
      <c r="C78" s="162"/>
      <c r="D78" s="162"/>
      <c r="E78" s="163"/>
      <c r="F78" s="192"/>
      <c r="G78" s="192"/>
      <c r="H78" s="192"/>
      <c r="I78" s="192"/>
      <c r="J78" s="186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8"/>
      <c r="V78" s="168"/>
      <c r="W78" s="169"/>
      <c r="X78" s="169"/>
      <c r="Y78" s="170"/>
      <c r="Z78" s="193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5"/>
      <c r="AL78" s="164"/>
      <c r="AM78" s="164"/>
      <c r="AN78" s="164"/>
      <c r="AO78" s="164"/>
      <c r="AP78" s="164"/>
      <c r="AQ78" s="164"/>
      <c r="AR78" s="29"/>
    </row>
    <row r="79" spans="2:44" ht="21" customHeight="1" x14ac:dyDescent="0.3">
      <c r="B79" s="161"/>
      <c r="C79" s="162"/>
      <c r="D79" s="162"/>
      <c r="E79" s="163"/>
      <c r="F79" s="192"/>
      <c r="G79" s="192"/>
      <c r="H79" s="192"/>
      <c r="I79" s="192"/>
      <c r="J79" s="186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8"/>
      <c r="V79" s="168"/>
      <c r="W79" s="169"/>
      <c r="X79" s="169"/>
      <c r="Y79" s="170"/>
      <c r="Z79" s="193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5"/>
      <c r="AL79" s="164"/>
      <c r="AM79" s="164"/>
      <c r="AN79" s="164"/>
      <c r="AO79" s="164"/>
      <c r="AP79" s="164"/>
      <c r="AQ79" s="164"/>
      <c r="AR79" s="29"/>
    </row>
    <row r="80" spans="2:44" ht="21" customHeight="1" x14ac:dyDescent="0.3">
      <c r="B80" s="161"/>
      <c r="C80" s="162"/>
      <c r="D80" s="162"/>
      <c r="E80" s="163"/>
      <c r="F80" s="192"/>
      <c r="G80" s="192"/>
      <c r="H80" s="192"/>
      <c r="I80" s="192"/>
      <c r="J80" s="186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8"/>
      <c r="V80" s="168"/>
      <c r="W80" s="169"/>
      <c r="X80" s="169"/>
      <c r="Y80" s="170"/>
      <c r="Z80" s="193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5"/>
      <c r="AL80" s="164"/>
      <c r="AM80" s="164"/>
      <c r="AN80" s="164"/>
      <c r="AO80" s="164"/>
      <c r="AP80" s="164"/>
      <c r="AQ80" s="164"/>
      <c r="AR80" s="29"/>
    </row>
    <row r="81" spans="2:55" s="29" customFormat="1" ht="21" customHeight="1" x14ac:dyDescent="0.3">
      <c r="B81" s="161"/>
      <c r="C81" s="162"/>
      <c r="D81" s="162"/>
      <c r="E81" s="163"/>
      <c r="F81" s="192"/>
      <c r="G81" s="192"/>
      <c r="H81" s="192"/>
      <c r="I81" s="192"/>
      <c r="J81" s="186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8"/>
      <c r="V81" s="168"/>
      <c r="W81" s="169"/>
      <c r="X81" s="169"/>
      <c r="Y81" s="170"/>
      <c r="Z81" s="193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5"/>
      <c r="AL81" s="164"/>
      <c r="AM81" s="164"/>
      <c r="AN81" s="164"/>
      <c r="AO81" s="164"/>
      <c r="AP81" s="164"/>
      <c r="AQ81" s="164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</row>
    <row r="82" spans="2:55" s="29" customFormat="1" ht="21" customHeight="1" x14ac:dyDescent="0.3">
      <c r="B82" s="161"/>
      <c r="C82" s="162"/>
      <c r="D82" s="162"/>
      <c r="E82" s="163"/>
      <c r="F82" s="192"/>
      <c r="G82" s="192"/>
      <c r="H82" s="192"/>
      <c r="I82" s="192"/>
      <c r="J82" s="189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1"/>
      <c r="V82" s="171"/>
      <c r="W82" s="172"/>
      <c r="X82" s="172"/>
      <c r="Y82" s="173"/>
      <c r="Z82" s="199"/>
      <c r="AA82" s="200"/>
      <c r="AB82" s="200"/>
      <c r="AC82" s="200"/>
      <c r="AD82" s="200"/>
      <c r="AE82" s="200"/>
      <c r="AF82" s="200"/>
      <c r="AG82" s="200"/>
      <c r="AH82" s="200"/>
      <c r="AI82" s="200"/>
      <c r="AJ82" s="200"/>
      <c r="AK82" s="201"/>
      <c r="AL82" s="164"/>
      <c r="AM82" s="164"/>
      <c r="AN82" s="164"/>
      <c r="AO82" s="164"/>
      <c r="AP82" s="164"/>
      <c r="AQ82" s="164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</row>
    <row r="83" spans="2:55" s="29" customFormat="1" ht="21" customHeight="1" x14ac:dyDescent="0.3">
      <c r="B83" s="161"/>
      <c r="C83" s="162"/>
      <c r="D83" s="162"/>
      <c r="E83" s="163"/>
      <c r="F83" s="192"/>
      <c r="G83" s="192"/>
      <c r="H83" s="192"/>
      <c r="I83" s="192"/>
      <c r="J83" s="174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6"/>
      <c r="V83" s="165"/>
      <c r="W83" s="166"/>
      <c r="X83" s="166"/>
      <c r="Y83" s="167"/>
      <c r="Z83" s="196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8"/>
      <c r="AL83" s="164"/>
      <c r="AM83" s="164"/>
      <c r="AN83" s="164"/>
      <c r="AO83" s="164"/>
      <c r="AP83" s="164"/>
      <c r="AQ83" s="164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</row>
    <row r="84" spans="2:55" s="29" customFormat="1" ht="21" customHeight="1" x14ac:dyDescent="0.3">
      <c r="B84" s="161"/>
      <c r="C84" s="162"/>
      <c r="D84" s="162"/>
      <c r="E84" s="163"/>
      <c r="F84" s="192"/>
      <c r="G84" s="192"/>
      <c r="H84" s="192"/>
      <c r="I84" s="192"/>
      <c r="J84" s="177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9"/>
      <c r="V84" s="168"/>
      <c r="W84" s="169"/>
      <c r="X84" s="169"/>
      <c r="Y84" s="170"/>
      <c r="Z84" s="193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5"/>
      <c r="AL84" s="164"/>
      <c r="AM84" s="164"/>
      <c r="AN84" s="164"/>
      <c r="AO84" s="164"/>
      <c r="AP84" s="164"/>
      <c r="AQ84" s="164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</row>
    <row r="85" spans="2:55" s="29" customFormat="1" ht="21" customHeight="1" x14ac:dyDescent="0.3">
      <c r="B85" s="161"/>
      <c r="C85" s="162"/>
      <c r="D85" s="162"/>
      <c r="E85" s="163"/>
      <c r="F85" s="192"/>
      <c r="G85" s="192"/>
      <c r="H85" s="192"/>
      <c r="I85" s="192"/>
      <c r="J85" s="177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9"/>
      <c r="V85" s="168"/>
      <c r="W85" s="169"/>
      <c r="X85" s="169"/>
      <c r="Y85" s="170"/>
      <c r="Z85" s="193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5"/>
      <c r="AL85" s="164"/>
      <c r="AM85" s="164"/>
      <c r="AN85" s="164"/>
      <c r="AO85" s="164"/>
      <c r="AP85" s="164"/>
      <c r="AQ85" s="164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</row>
    <row r="86" spans="2:55" s="29" customFormat="1" ht="21" customHeight="1" x14ac:dyDescent="0.3">
      <c r="B86" s="161"/>
      <c r="C86" s="162"/>
      <c r="D86" s="162"/>
      <c r="E86" s="163"/>
      <c r="F86" s="192"/>
      <c r="G86" s="192"/>
      <c r="H86" s="192"/>
      <c r="I86" s="192"/>
      <c r="J86" s="177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9"/>
      <c r="V86" s="168"/>
      <c r="W86" s="169"/>
      <c r="X86" s="169"/>
      <c r="Y86" s="170"/>
      <c r="Z86" s="193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5"/>
      <c r="AL86" s="164"/>
      <c r="AM86" s="164"/>
      <c r="AN86" s="164"/>
      <c r="AO86" s="164"/>
      <c r="AP86" s="164"/>
      <c r="AQ86" s="164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</row>
    <row r="87" spans="2:55" s="29" customFormat="1" ht="21" customHeight="1" x14ac:dyDescent="0.3">
      <c r="B87" s="161"/>
      <c r="C87" s="162"/>
      <c r="D87" s="162"/>
      <c r="E87" s="163"/>
      <c r="F87" s="192"/>
      <c r="G87" s="192"/>
      <c r="H87" s="192"/>
      <c r="I87" s="192"/>
      <c r="J87" s="177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9"/>
      <c r="V87" s="168"/>
      <c r="W87" s="169"/>
      <c r="X87" s="169"/>
      <c r="Y87" s="170"/>
      <c r="Z87" s="193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5"/>
      <c r="AL87" s="164"/>
      <c r="AM87" s="164"/>
      <c r="AN87" s="164"/>
      <c r="AO87" s="164"/>
      <c r="AP87" s="164"/>
      <c r="AQ87" s="164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</row>
    <row r="88" spans="2:55" s="29" customFormat="1" ht="21" customHeight="1" x14ac:dyDescent="0.3">
      <c r="B88" s="161"/>
      <c r="C88" s="162"/>
      <c r="D88" s="162"/>
      <c r="E88" s="163"/>
      <c r="F88" s="192"/>
      <c r="G88" s="192"/>
      <c r="H88" s="192"/>
      <c r="I88" s="192"/>
      <c r="J88" s="177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9"/>
      <c r="V88" s="168"/>
      <c r="W88" s="169"/>
      <c r="X88" s="169"/>
      <c r="Y88" s="170"/>
      <c r="Z88" s="193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5"/>
      <c r="AL88" s="164"/>
      <c r="AM88" s="164"/>
      <c r="AN88" s="164"/>
      <c r="AO88" s="164"/>
      <c r="AP88" s="164"/>
      <c r="AQ88" s="164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</row>
    <row r="89" spans="2:55" s="29" customFormat="1" ht="21" customHeight="1" x14ac:dyDescent="0.3">
      <c r="B89" s="161"/>
      <c r="C89" s="162"/>
      <c r="D89" s="162"/>
      <c r="E89" s="163"/>
      <c r="F89" s="192"/>
      <c r="G89" s="192"/>
      <c r="H89" s="192"/>
      <c r="I89" s="192"/>
      <c r="J89" s="177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9"/>
      <c r="V89" s="168"/>
      <c r="W89" s="169"/>
      <c r="X89" s="169"/>
      <c r="Y89" s="170"/>
      <c r="Z89" s="193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5"/>
      <c r="AL89" s="164"/>
      <c r="AM89" s="164"/>
      <c r="AN89" s="164"/>
      <c r="AO89" s="164"/>
      <c r="AP89" s="164"/>
      <c r="AQ89" s="164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</row>
    <row r="90" spans="2:55" s="29" customFormat="1" ht="21" customHeight="1" x14ac:dyDescent="0.3">
      <c r="B90" s="161"/>
      <c r="C90" s="162"/>
      <c r="D90" s="162"/>
      <c r="E90" s="163"/>
      <c r="F90" s="192"/>
      <c r="G90" s="192"/>
      <c r="H90" s="192"/>
      <c r="I90" s="192"/>
      <c r="J90" s="180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2"/>
      <c r="V90" s="171"/>
      <c r="W90" s="172"/>
      <c r="X90" s="172"/>
      <c r="Y90" s="173"/>
      <c r="Z90" s="199"/>
      <c r="AA90" s="200"/>
      <c r="AB90" s="200"/>
      <c r="AC90" s="200"/>
      <c r="AD90" s="200"/>
      <c r="AE90" s="200"/>
      <c r="AF90" s="200"/>
      <c r="AG90" s="200"/>
      <c r="AH90" s="200"/>
      <c r="AI90" s="200"/>
      <c r="AJ90" s="200"/>
      <c r="AK90" s="201"/>
      <c r="AL90" s="164"/>
      <c r="AM90" s="164"/>
      <c r="AN90" s="164"/>
      <c r="AO90" s="164"/>
      <c r="AP90" s="164"/>
      <c r="AQ90" s="164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</row>
    <row r="91" spans="2:55" s="29" customFormat="1" ht="21" customHeight="1" x14ac:dyDescent="0.3">
      <c r="B91" s="161"/>
      <c r="C91" s="162"/>
      <c r="D91" s="162"/>
      <c r="E91" s="163"/>
      <c r="F91" s="192"/>
      <c r="G91" s="192"/>
      <c r="H91" s="192"/>
      <c r="I91" s="192"/>
      <c r="J91" s="183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5"/>
      <c r="V91" s="165"/>
      <c r="W91" s="166"/>
      <c r="X91" s="166"/>
      <c r="Y91" s="167"/>
      <c r="Z91" s="196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8"/>
      <c r="AL91" s="164"/>
      <c r="AM91" s="164"/>
      <c r="AN91" s="164"/>
      <c r="AO91" s="164"/>
      <c r="AP91" s="164"/>
      <c r="AQ91" s="164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</row>
    <row r="92" spans="2:55" s="29" customFormat="1" ht="21" customHeight="1" x14ac:dyDescent="0.3">
      <c r="B92" s="161"/>
      <c r="C92" s="162"/>
      <c r="D92" s="162"/>
      <c r="E92" s="163"/>
      <c r="F92" s="192"/>
      <c r="G92" s="192"/>
      <c r="H92" s="192"/>
      <c r="I92" s="192"/>
      <c r="J92" s="186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8"/>
      <c r="V92" s="168"/>
      <c r="W92" s="169"/>
      <c r="X92" s="169"/>
      <c r="Y92" s="170"/>
      <c r="Z92" s="193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5"/>
      <c r="AL92" s="164"/>
      <c r="AM92" s="164"/>
      <c r="AN92" s="164"/>
      <c r="AO92" s="164"/>
      <c r="AP92" s="164"/>
      <c r="AQ92" s="164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</row>
    <row r="93" spans="2:55" s="29" customFormat="1" ht="21" customHeight="1" x14ac:dyDescent="0.3">
      <c r="B93" s="161"/>
      <c r="C93" s="162"/>
      <c r="D93" s="162"/>
      <c r="E93" s="163"/>
      <c r="F93" s="192"/>
      <c r="G93" s="192"/>
      <c r="H93" s="192"/>
      <c r="I93" s="192"/>
      <c r="J93" s="186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8"/>
      <c r="V93" s="168"/>
      <c r="W93" s="169"/>
      <c r="X93" s="169"/>
      <c r="Y93" s="170"/>
      <c r="Z93" s="193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5"/>
      <c r="AL93" s="164"/>
      <c r="AM93" s="164"/>
      <c r="AN93" s="164"/>
      <c r="AO93" s="164"/>
      <c r="AP93" s="164"/>
      <c r="AQ93" s="164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</row>
    <row r="94" spans="2:55" s="29" customFormat="1" ht="21" customHeight="1" x14ac:dyDescent="0.3">
      <c r="B94" s="161"/>
      <c r="C94" s="162"/>
      <c r="D94" s="162"/>
      <c r="E94" s="163"/>
      <c r="F94" s="192"/>
      <c r="G94" s="192"/>
      <c r="H94" s="192"/>
      <c r="I94" s="192"/>
      <c r="J94" s="186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8"/>
      <c r="V94" s="168"/>
      <c r="W94" s="169"/>
      <c r="X94" s="169"/>
      <c r="Y94" s="170"/>
      <c r="Z94" s="193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5"/>
      <c r="AL94" s="164"/>
      <c r="AM94" s="164"/>
      <c r="AN94" s="164"/>
      <c r="AO94" s="164"/>
      <c r="AP94" s="164"/>
      <c r="AQ94" s="164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</row>
    <row r="95" spans="2:55" s="29" customFormat="1" ht="21" customHeight="1" x14ac:dyDescent="0.3">
      <c r="B95" s="161"/>
      <c r="C95" s="162"/>
      <c r="D95" s="162"/>
      <c r="E95" s="163"/>
      <c r="F95" s="192"/>
      <c r="G95" s="192"/>
      <c r="H95" s="192"/>
      <c r="I95" s="192"/>
      <c r="J95" s="186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8"/>
      <c r="V95" s="168"/>
      <c r="W95" s="169"/>
      <c r="X95" s="169"/>
      <c r="Y95" s="170"/>
      <c r="Z95" s="193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5"/>
      <c r="AL95" s="164"/>
      <c r="AM95" s="164"/>
      <c r="AN95" s="164"/>
      <c r="AO95" s="164"/>
      <c r="AP95" s="164"/>
      <c r="AQ95" s="164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</row>
    <row r="96" spans="2:55" s="29" customFormat="1" ht="21" customHeight="1" x14ac:dyDescent="0.3">
      <c r="B96" s="161"/>
      <c r="C96" s="162"/>
      <c r="D96" s="162"/>
      <c r="E96" s="163"/>
      <c r="F96" s="192"/>
      <c r="G96" s="192"/>
      <c r="H96" s="192"/>
      <c r="I96" s="192"/>
      <c r="J96" s="186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8"/>
      <c r="V96" s="168"/>
      <c r="W96" s="169"/>
      <c r="X96" s="169"/>
      <c r="Y96" s="170"/>
      <c r="Z96" s="193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5"/>
      <c r="AL96" s="164"/>
      <c r="AM96" s="164"/>
      <c r="AN96" s="164"/>
      <c r="AO96" s="164"/>
      <c r="AP96" s="164"/>
      <c r="AQ96" s="164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</row>
    <row r="97" spans="2:55" s="29" customFormat="1" ht="21" customHeight="1" x14ac:dyDescent="0.3">
      <c r="B97" s="161"/>
      <c r="C97" s="162"/>
      <c r="D97" s="162"/>
      <c r="E97" s="163"/>
      <c r="F97" s="192"/>
      <c r="G97" s="192"/>
      <c r="H97" s="192"/>
      <c r="I97" s="192"/>
      <c r="J97" s="186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8"/>
      <c r="V97" s="168"/>
      <c r="W97" s="169"/>
      <c r="X97" s="169"/>
      <c r="Y97" s="170"/>
      <c r="Z97" s="193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5"/>
      <c r="AL97" s="164"/>
      <c r="AM97" s="164"/>
      <c r="AN97" s="164"/>
      <c r="AO97" s="164"/>
      <c r="AP97" s="164"/>
      <c r="AQ97" s="164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</row>
    <row r="98" spans="2:55" s="29" customFormat="1" ht="21" customHeight="1" x14ac:dyDescent="0.3">
      <c r="B98" s="161"/>
      <c r="C98" s="162"/>
      <c r="D98" s="162"/>
      <c r="E98" s="163"/>
      <c r="F98" s="192"/>
      <c r="G98" s="192"/>
      <c r="H98" s="192"/>
      <c r="I98" s="192"/>
      <c r="J98" s="189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1"/>
      <c r="V98" s="171"/>
      <c r="W98" s="172"/>
      <c r="X98" s="172"/>
      <c r="Y98" s="173"/>
      <c r="Z98" s="199"/>
      <c r="AA98" s="200"/>
      <c r="AB98" s="200"/>
      <c r="AC98" s="200"/>
      <c r="AD98" s="200"/>
      <c r="AE98" s="200"/>
      <c r="AF98" s="200"/>
      <c r="AG98" s="200"/>
      <c r="AH98" s="200"/>
      <c r="AI98" s="200"/>
      <c r="AJ98" s="200"/>
      <c r="AK98" s="201"/>
      <c r="AL98" s="164"/>
      <c r="AM98" s="164"/>
      <c r="AN98" s="164"/>
      <c r="AO98" s="164"/>
      <c r="AP98" s="164"/>
      <c r="AQ98" s="164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</row>
    <row r="99" spans="2:55" s="29" customFormat="1" ht="21" customHeight="1" x14ac:dyDescent="0.3">
      <c r="B99" s="161"/>
      <c r="C99" s="162"/>
      <c r="D99" s="162"/>
      <c r="E99" s="163"/>
      <c r="F99" s="192"/>
      <c r="G99" s="192"/>
      <c r="H99" s="192"/>
      <c r="I99" s="192"/>
      <c r="J99" s="183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5"/>
      <c r="V99" s="165"/>
      <c r="W99" s="166"/>
      <c r="X99" s="166"/>
      <c r="Y99" s="167"/>
      <c r="Z99" s="196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8"/>
      <c r="AL99" s="164"/>
      <c r="AM99" s="164"/>
      <c r="AN99" s="164"/>
      <c r="AO99" s="164"/>
      <c r="AP99" s="164"/>
      <c r="AQ99" s="164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</row>
    <row r="100" spans="2:55" s="29" customFormat="1" ht="21" customHeight="1" x14ac:dyDescent="0.3">
      <c r="B100" s="161"/>
      <c r="C100" s="162"/>
      <c r="D100" s="162"/>
      <c r="E100" s="163"/>
      <c r="F100" s="192"/>
      <c r="G100" s="192"/>
      <c r="H100" s="192"/>
      <c r="I100" s="192"/>
      <c r="J100" s="186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8"/>
      <c r="V100" s="168"/>
      <c r="W100" s="169"/>
      <c r="X100" s="169"/>
      <c r="Y100" s="170"/>
      <c r="Z100" s="193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5"/>
      <c r="AL100" s="164"/>
      <c r="AM100" s="164"/>
      <c r="AN100" s="164"/>
      <c r="AO100" s="164"/>
      <c r="AP100" s="164"/>
      <c r="AQ100" s="164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</row>
    <row r="101" spans="2:55" s="29" customFormat="1" ht="21" customHeight="1" x14ac:dyDescent="0.3">
      <c r="B101" s="161"/>
      <c r="C101" s="162"/>
      <c r="D101" s="162"/>
      <c r="E101" s="163"/>
      <c r="F101" s="192"/>
      <c r="G101" s="192"/>
      <c r="H101" s="192"/>
      <c r="I101" s="192"/>
      <c r="J101" s="186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8"/>
      <c r="V101" s="168"/>
      <c r="W101" s="169"/>
      <c r="X101" s="169"/>
      <c r="Y101" s="170"/>
      <c r="Z101" s="193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5"/>
      <c r="AL101" s="164"/>
      <c r="AM101" s="164"/>
      <c r="AN101" s="164"/>
      <c r="AO101" s="164"/>
      <c r="AP101" s="164"/>
      <c r="AQ101" s="164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</row>
    <row r="102" spans="2:55" s="29" customFormat="1" ht="21" customHeight="1" x14ac:dyDescent="0.3">
      <c r="B102" s="161"/>
      <c r="C102" s="162"/>
      <c r="D102" s="162"/>
      <c r="E102" s="163"/>
      <c r="F102" s="192"/>
      <c r="G102" s="192"/>
      <c r="H102" s="192"/>
      <c r="I102" s="192"/>
      <c r="J102" s="186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8"/>
      <c r="V102" s="168"/>
      <c r="W102" s="169"/>
      <c r="X102" s="169"/>
      <c r="Y102" s="170"/>
      <c r="Z102" s="193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5"/>
      <c r="AL102" s="164"/>
      <c r="AM102" s="164"/>
      <c r="AN102" s="164"/>
      <c r="AO102" s="164"/>
      <c r="AP102" s="164"/>
      <c r="AQ102" s="164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</row>
    <row r="103" spans="2:55" s="29" customFormat="1" ht="21" customHeight="1" x14ac:dyDescent="0.3">
      <c r="B103" s="161"/>
      <c r="C103" s="162"/>
      <c r="D103" s="162"/>
      <c r="E103" s="163"/>
      <c r="F103" s="192"/>
      <c r="G103" s="192"/>
      <c r="H103" s="192"/>
      <c r="I103" s="192"/>
      <c r="J103" s="186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8"/>
      <c r="V103" s="168"/>
      <c r="W103" s="169"/>
      <c r="X103" s="169"/>
      <c r="Y103" s="170"/>
      <c r="Z103" s="193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5"/>
      <c r="AL103" s="164"/>
      <c r="AM103" s="164"/>
      <c r="AN103" s="164"/>
      <c r="AO103" s="164"/>
      <c r="AP103" s="164"/>
      <c r="AQ103" s="164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</row>
    <row r="104" spans="2:55" s="29" customFormat="1" ht="21" customHeight="1" x14ac:dyDescent="0.3">
      <c r="B104" s="161"/>
      <c r="C104" s="162"/>
      <c r="D104" s="162"/>
      <c r="E104" s="163"/>
      <c r="F104" s="192"/>
      <c r="G104" s="192"/>
      <c r="H104" s="192"/>
      <c r="I104" s="192"/>
      <c r="J104" s="186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8"/>
      <c r="V104" s="168"/>
      <c r="W104" s="169"/>
      <c r="X104" s="169"/>
      <c r="Y104" s="170"/>
      <c r="Z104" s="193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5"/>
      <c r="AL104" s="164"/>
      <c r="AM104" s="164"/>
      <c r="AN104" s="164"/>
      <c r="AO104" s="164"/>
      <c r="AP104" s="164"/>
      <c r="AQ104" s="164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</row>
    <row r="105" spans="2:55" s="29" customFormat="1" ht="21" customHeight="1" x14ac:dyDescent="0.3">
      <c r="B105" s="161"/>
      <c r="C105" s="162"/>
      <c r="D105" s="162"/>
      <c r="E105" s="163"/>
      <c r="F105" s="192"/>
      <c r="G105" s="192"/>
      <c r="H105" s="192"/>
      <c r="I105" s="192"/>
      <c r="J105" s="186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8"/>
      <c r="V105" s="168"/>
      <c r="W105" s="169"/>
      <c r="X105" s="169"/>
      <c r="Y105" s="170"/>
      <c r="Z105" s="193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5"/>
      <c r="AL105" s="164"/>
      <c r="AM105" s="164"/>
      <c r="AN105" s="164"/>
      <c r="AO105" s="164"/>
      <c r="AP105" s="164"/>
      <c r="AQ105" s="164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</row>
    <row r="106" spans="2:55" s="29" customFormat="1" ht="21" customHeight="1" x14ac:dyDescent="0.3">
      <c r="B106" s="161"/>
      <c r="C106" s="162"/>
      <c r="D106" s="162"/>
      <c r="E106" s="163"/>
      <c r="F106" s="192"/>
      <c r="G106" s="192"/>
      <c r="H106" s="192"/>
      <c r="I106" s="192"/>
      <c r="J106" s="189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1"/>
      <c r="V106" s="171"/>
      <c r="W106" s="172"/>
      <c r="X106" s="172"/>
      <c r="Y106" s="173"/>
      <c r="Z106" s="199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1"/>
      <c r="AL106" s="164"/>
      <c r="AM106" s="164"/>
      <c r="AN106" s="164"/>
      <c r="AO106" s="164"/>
      <c r="AP106" s="164"/>
      <c r="AQ106" s="164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</row>
    <row r="107" spans="2:55" s="29" customFormat="1" ht="21" customHeight="1" x14ac:dyDescent="0.3">
      <c r="B107" s="161"/>
      <c r="C107" s="162"/>
      <c r="D107" s="162"/>
      <c r="E107" s="163"/>
      <c r="F107" s="192"/>
      <c r="G107" s="192"/>
      <c r="H107" s="192"/>
      <c r="I107" s="192"/>
      <c r="J107" s="183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5"/>
      <c r="V107" s="165"/>
      <c r="W107" s="166"/>
      <c r="X107" s="166"/>
      <c r="Y107" s="167"/>
      <c r="Z107" s="196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8"/>
      <c r="AL107" s="164"/>
      <c r="AM107" s="164"/>
      <c r="AN107" s="164"/>
      <c r="AO107" s="164"/>
      <c r="AP107" s="164"/>
      <c r="AQ107" s="164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</row>
    <row r="108" spans="2:55" s="29" customFormat="1" ht="21" customHeight="1" x14ac:dyDescent="0.3">
      <c r="B108" s="161"/>
      <c r="C108" s="162"/>
      <c r="D108" s="162"/>
      <c r="E108" s="163"/>
      <c r="F108" s="192"/>
      <c r="G108" s="192"/>
      <c r="H108" s="192"/>
      <c r="I108" s="192"/>
      <c r="J108" s="186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8"/>
      <c r="V108" s="168"/>
      <c r="W108" s="169"/>
      <c r="X108" s="169"/>
      <c r="Y108" s="170"/>
      <c r="Z108" s="193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5"/>
      <c r="AL108" s="164"/>
      <c r="AM108" s="164"/>
      <c r="AN108" s="164"/>
      <c r="AO108" s="164"/>
      <c r="AP108" s="164"/>
      <c r="AQ108" s="164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</row>
    <row r="109" spans="2:55" s="29" customFormat="1" ht="21" customHeight="1" x14ac:dyDescent="0.3">
      <c r="B109" s="161"/>
      <c r="C109" s="162"/>
      <c r="D109" s="162"/>
      <c r="E109" s="163"/>
      <c r="F109" s="192"/>
      <c r="G109" s="192"/>
      <c r="H109" s="192"/>
      <c r="I109" s="192"/>
      <c r="J109" s="186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8"/>
      <c r="V109" s="168"/>
      <c r="W109" s="169"/>
      <c r="X109" s="169"/>
      <c r="Y109" s="170"/>
      <c r="Z109" s="193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5"/>
      <c r="AL109" s="164"/>
      <c r="AM109" s="164"/>
      <c r="AN109" s="164"/>
      <c r="AO109" s="164"/>
      <c r="AP109" s="164"/>
      <c r="AQ109" s="164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</row>
    <row r="110" spans="2:55" s="29" customFormat="1" ht="21" customHeight="1" x14ac:dyDescent="0.3">
      <c r="B110" s="161"/>
      <c r="C110" s="162"/>
      <c r="D110" s="162"/>
      <c r="E110" s="163"/>
      <c r="F110" s="192"/>
      <c r="G110" s="192"/>
      <c r="H110" s="192"/>
      <c r="I110" s="192"/>
      <c r="J110" s="186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8"/>
      <c r="V110" s="168"/>
      <c r="W110" s="169"/>
      <c r="X110" s="169"/>
      <c r="Y110" s="170"/>
      <c r="Z110" s="193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194"/>
      <c r="AK110" s="195"/>
      <c r="AL110" s="164"/>
      <c r="AM110" s="164"/>
      <c r="AN110" s="164"/>
      <c r="AO110" s="164"/>
      <c r="AP110" s="164"/>
      <c r="AQ110" s="164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</row>
    <row r="111" spans="2:55" s="29" customFormat="1" ht="21" customHeight="1" x14ac:dyDescent="0.3">
      <c r="B111" s="161"/>
      <c r="C111" s="162"/>
      <c r="D111" s="162"/>
      <c r="E111" s="163"/>
      <c r="F111" s="192"/>
      <c r="G111" s="192"/>
      <c r="H111" s="192"/>
      <c r="I111" s="192"/>
      <c r="J111" s="186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8"/>
      <c r="V111" s="168"/>
      <c r="W111" s="169"/>
      <c r="X111" s="169"/>
      <c r="Y111" s="170"/>
      <c r="Z111" s="193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4"/>
      <c r="AK111" s="195"/>
      <c r="AL111" s="164"/>
      <c r="AM111" s="164"/>
      <c r="AN111" s="164"/>
      <c r="AO111" s="164"/>
      <c r="AP111" s="164"/>
      <c r="AQ111" s="164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</row>
    <row r="112" spans="2:55" s="29" customFormat="1" ht="21" customHeight="1" x14ac:dyDescent="0.3">
      <c r="B112" s="161"/>
      <c r="C112" s="162"/>
      <c r="D112" s="162"/>
      <c r="E112" s="163"/>
      <c r="F112" s="192"/>
      <c r="G112" s="192"/>
      <c r="H112" s="192"/>
      <c r="I112" s="192"/>
      <c r="J112" s="186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8"/>
      <c r="V112" s="168"/>
      <c r="W112" s="169"/>
      <c r="X112" s="169"/>
      <c r="Y112" s="170"/>
      <c r="Z112" s="193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4"/>
      <c r="AK112" s="195"/>
      <c r="AL112" s="164"/>
      <c r="AM112" s="164"/>
      <c r="AN112" s="164"/>
      <c r="AO112" s="164"/>
      <c r="AP112" s="164"/>
      <c r="AQ112" s="164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</row>
    <row r="113" spans="2:55" s="29" customFormat="1" ht="21" customHeight="1" x14ac:dyDescent="0.3">
      <c r="B113" s="161"/>
      <c r="C113" s="162"/>
      <c r="D113" s="162"/>
      <c r="E113" s="163"/>
      <c r="F113" s="192"/>
      <c r="G113" s="192"/>
      <c r="H113" s="192"/>
      <c r="I113" s="192"/>
      <c r="J113" s="186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8"/>
      <c r="V113" s="168"/>
      <c r="W113" s="169"/>
      <c r="X113" s="169"/>
      <c r="Y113" s="170"/>
      <c r="Z113" s="193"/>
      <c r="AA113" s="194"/>
      <c r="AB113" s="194"/>
      <c r="AC113" s="194"/>
      <c r="AD113" s="194"/>
      <c r="AE113" s="194"/>
      <c r="AF113" s="194"/>
      <c r="AG113" s="194"/>
      <c r="AH113" s="194"/>
      <c r="AI113" s="194"/>
      <c r="AJ113" s="194"/>
      <c r="AK113" s="195"/>
      <c r="AL113" s="164"/>
      <c r="AM113" s="164"/>
      <c r="AN113" s="164"/>
      <c r="AO113" s="164"/>
      <c r="AP113" s="164"/>
      <c r="AQ113" s="164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</row>
    <row r="114" spans="2:55" s="29" customFormat="1" ht="21" customHeight="1" x14ac:dyDescent="0.3">
      <c r="B114" s="161"/>
      <c r="C114" s="162"/>
      <c r="D114" s="162"/>
      <c r="E114" s="163"/>
      <c r="F114" s="192"/>
      <c r="G114" s="192"/>
      <c r="H114" s="192"/>
      <c r="I114" s="192"/>
      <c r="J114" s="189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1"/>
      <c r="V114" s="171"/>
      <c r="W114" s="172"/>
      <c r="X114" s="172"/>
      <c r="Y114" s="173"/>
      <c r="Z114" s="199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0"/>
      <c r="AK114" s="201"/>
      <c r="AL114" s="164"/>
      <c r="AM114" s="164"/>
      <c r="AN114" s="164"/>
      <c r="AO114" s="164"/>
      <c r="AP114" s="164"/>
      <c r="AQ114" s="164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</row>
    <row r="115" spans="2:55" s="29" customFormat="1" ht="21" customHeight="1" x14ac:dyDescent="0.3">
      <c r="B115" s="161"/>
      <c r="C115" s="162"/>
      <c r="D115" s="162"/>
      <c r="E115" s="163"/>
      <c r="F115" s="192"/>
      <c r="G115" s="192"/>
      <c r="H115" s="192"/>
      <c r="I115" s="192"/>
      <c r="J115" s="183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5"/>
      <c r="V115" s="165"/>
      <c r="W115" s="166"/>
      <c r="X115" s="166"/>
      <c r="Y115" s="167"/>
      <c r="Z115" s="196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8"/>
      <c r="AL115" s="164"/>
      <c r="AM115" s="164"/>
      <c r="AN115" s="164"/>
      <c r="AO115" s="164"/>
      <c r="AP115" s="164"/>
      <c r="AQ115" s="164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</row>
    <row r="116" spans="2:55" s="29" customFormat="1" ht="21" customHeight="1" x14ac:dyDescent="0.3">
      <c r="B116" s="161"/>
      <c r="C116" s="162"/>
      <c r="D116" s="162"/>
      <c r="E116" s="163"/>
      <c r="F116" s="192"/>
      <c r="G116" s="192"/>
      <c r="H116" s="192"/>
      <c r="I116" s="192"/>
      <c r="J116" s="186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8"/>
      <c r="V116" s="168"/>
      <c r="W116" s="169"/>
      <c r="X116" s="169"/>
      <c r="Y116" s="170"/>
      <c r="Z116" s="193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5"/>
      <c r="AL116" s="164"/>
      <c r="AM116" s="164"/>
      <c r="AN116" s="164"/>
      <c r="AO116" s="164"/>
      <c r="AP116" s="164"/>
      <c r="AQ116" s="164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</row>
    <row r="117" spans="2:55" s="29" customFormat="1" ht="21" customHeight="1" x14ac:dyDescent="0.3">
      <c r="B117" s="161"/>
      <c r="C117" s="162"/>
      <c r="D117" s="162"/>
      <c r="E117" s="163"/>
      <c r="F117" s="192"/>
      <c r="G117" s="192"/>
      <c r="H117" s="192"/>
      <c r="I117" s="192"/>
      <c r="J117" s="186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8"/>
      <c r="V117" s="168"/>
      <c r="W117" s="169"/>
      <c r="X117" s="169"/>
      <c r="Y117" s="170"/>
      <c r="Z117" s="193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5"/>
      <c r="AL117" s="164"/>
      <c r="AM117" s="164"/>
      <c r="AN117" s="164"/>
      <c r="AO117" s="164"/>
      <c r="AP117" s="164"/>
      <c r="AQ117" s="164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</row>
    <row r="118" spans="2:55" s="29" customFormat="1" ht="21" customHeight="1" x14ac:dyDescent="0.3">
      <c r="B118" s="161"/>
      <c r="C118" s="162"/>
      <c r="D118" s="162"/>
      <c r="E118" s="163"/>
      <c r="F118" s="192"/>
      <c r="G118" s="192"/>
      <c r="H118" s="192"/>
      <c r="I118" s="192"/>
      <c r="J118" s="186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8"/>
      <c r="V118" s="168"/>
      <c r="W118" s="169"/>
      <c r="X118" s="169"/>
      <c r="Y118" s="170"/>
      <c r="Z118" s="193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4"/>
      <c r="AK118" s="195"/>
      <c r="AL118" s="164"/>
      <c r="AM118" s="164"/>
      <c r="AN118" s="164"/>
      <c r="AO118" s="164"/>
      <c r="AP118" s="164"/>
      <c r="AQ118" s="164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</row>
    <row r="119" spans="2:55" s="29" customFormat="1" ht="21" customHeight="1" x14ac:dyDescent="0.3">
      <c r="B119" s="161"/>
      <c r="C119" s="162"/>
      <c r="D119" s="162"/>
      <c r="E119" s="163"/>
      <c r="F119" s="192"/>
      <c r="G119" s="192"/>
      <c r="H119" s="192"/>
      <c r="I119" s="192"/>
      <c r="J119" s="186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8"/>
      <c r="V119" s="168"/>
      <c r="W119" s="169"/>
      <c r="X119" s="169"/>
      <c r="Y119" s="170"/>
      <c r="Z119" s="193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5"/>
      <c r="AL119" s="164"/>
      <c r="AM119" s="164"/>
      <c r="AN119" s="164"/>
      <c r="AO119" s="164"/>
      <c r="AP119" s="164"/>
      <c r="AQ119" s="164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</row>
    <row r="120" spans="2:55" s="29" customFormat="1" ht="21" customHeight="1" x14ac:dyDescent="0.3">
      <c r="B120" s="161"/>
      <c r="C120" s="162"/>
      <c r="D120" s="162"/>
      <c r="E120" s="163"/>
      <c r="F120" s="192"/>
      <c r="G120" s="192"/>
      <c r="H120" s="192"/>
      <c r="I120" s="192"/>
      <c r="J120" s="186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8"/>
      <c r="V120" s="168"/>
      <c r="W120" s="169"/>
      <c r="X120" s="169"/>
      <c r="Y120" s="170"/>
      <c r="Z120" s="193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5"/>
      <c r="AL120" s="164"/>
      <c r="AM120" s="164"/>
      <c r="AN120" s="164"/>
      <c r="AO120" s="164"/>
      <c r="AP120" s="164"/>
      <c r="AQ120" s="164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</row>
    <row r="121" spans="2:55" s="29" customFormat="1" ht="21" customHeight="1" x14ac:dyDescent="0.3">
      <c r="B121" s="161"/>
      <c r="C121" s="162"/>
      <c r="D121" s="162"/>
      <c r="E121" s="163"/>
      <c r="F121" s="192"/>
      <c r="G121" s="192"/>
      <c r="H121" s="192"/>
      <c r="I121" s="192"/>
      <c r="J121" s="186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8"/>
      <c r="V121" s="168"/>
      <c r="W121" s="169"/>
      <c r="X121" s="169"/>
      <c r="Y121" s="170"/>
      <c r="Z121" s="193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4"/>
      <c r="AK121" s="195"/>
      <c r="AL121" s="164"/>
      <c r="AM121" s="164"/>
      <c r="AN121" s="164"/>
      <c r="AO121" s="164"/>
      <c r="AP121" s="164"/>
      <c r="AQ121" s="164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</row>
    <row r="122" spans="2:55" s="29" customFormat="1" ht="21" customHeight="1" x14ac:dyDescent="0.3">
      <c r="B122" s="161"/>
      <c r="C122" s="162"/>
      <c r="D122" s="162"/>
      <c r="E122" s="163"/>
      <c r="F122" s="192"/>
      <c r="G122" s="192"/>
      <c r="H122" s="192"/>
      <c r="I122" s="192"/>
      <c r="J122" s="189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1"/>
      <c r="V122" s="171"/>
      <c r="W122" s="172"/>
      <c r="X122" s="172"/>
      <c r="Y122" s="173"/>
      <c r="Z122" s="199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1"/>
      <c r="AL122" s="164"/>
      <c r="AM122" s="164"/>
      <c r="AN122" s="164"/>
      <c r="AO122" s="164"/>
      <c r="AP122" s="164"/>
      <c r="AQ122" s="164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</row>
    <row r="123" spans="2:55" s="29" customFormat="1" ht="21" customHeight="1" x14ac:dyDescent="0.3">
      <c r="B123" s="161"/>
      <c r="C123" s="162"/>
      <c r="D123" s="162"/>
      <c r="E123" s="163"/>
      <c r="F123" s="192"/>
      <c r="G123" s="192"/>
      <c r="H123" s="192"/>
      <c r="I123" s="192"/>
      <c r="J123" s="183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5"/>
      <c r="V123" s="165"/>
      <c r="W123" s="166"/>
      <c r="X123" s="166"/>
      <c r="Y123" s="167"/>
      <c r="Z123" s="196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8"/>
      <c r="AL123" s="164"/>
      <c r="AM123" s="164"/>
      <c r="AN123" s="164"/>
      <c r="AO123" s="164"/>
      <c r="AP123" s="164"/>
      <c r="AQ123" s="164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</row>
    <row r="124" spans="2:55" s="29" customFormat="1" ht="21" customHeight="1" x14ac:dyDescent="0.3">
      <c r="B124" s="161"/>
      <c r="C124" s="162"/>
      <c r="D124" s="162"/>
      <c r="E124" s="163"/>
      <c r="F124" s="192"/>
      <c r="G124" s="192"/>
      <c r="H124" s="192"/>
      <c r="I124" s="192"/>
      <c r="J124" s="186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8"/>
      <c r="V124" s="168"/>
      <c r="W124" s="169"/>
      <c r="X124" s="169"/>
      <c r="Y124" s="170"/>
      <c r="Z124" s="193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5"/>
      <c r="AL124" s="164"/>
      <c r="AM124" s="164"/>
      <c r="AN124" s="164"/>
      <c r="AO124" s="164"/>
      <c r="AP124" s="164"/>
      <c r="AQ124" s="164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</row>
    <row r="125" spans="2:55" s="29" customFormat="1" ht="21" customHeight="1" x14ac:dyDescent="0.3">
      <c r="B125" s="161"/>
      <c r="C125" s="162"/>
      <c r="D125" s="162"/>
      <c r="E125" s="163"/>
      <c r="F125" s="192"/>
      <c r="G125" s="192"/>
      <c r="H125" s="192"/>
      <c r="I125" s="192"/>
      <c r="J125" s="186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8"/>
      <c r="V125" s="168"/>
      <c r="W125" s="169"/>
      <c r="X125" s="169"/>
      <c r="Y125" s="170"/>
      <c r="Z125" s="193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4"/>
      <c r="AK125" s="195"/>
      <c r="AL125" s="164"/>
      <c r="AM125" s="164"/>
      <c r="AN125" s="164"/>
      <c r="AO125" s="164"/>
      <c r="AP125" s="164"/>
      <c r="AQ125" s="164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</row>
    <row r="126" spans="2:55" s="29" customFormat="1" ht="21" customHeight="1" x14ac:dyDescent="0.3">
      <c r="B126" s="161"/>
      <c r="C126" s="162"/>
      <c r="D126" s="162"/>
      <c r="E126" s="163"/>
      <c r="F126" s="192"/>
      <c r="G126" s="192"/>
      <c r="H126" s="192"/>
      <c r="I126" s="192"/>
      <c r="J126" s="186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8"/>
      <c r="V126" s="168"/>
      <c r="W126" s="169"/>
      <c r="X126" s="169"/>
      <c r="Y126" s="170"/>
      <c r="Z126" s="193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5"/>
      <c r="AL126" s="164"/>
      <c r="AM126" s="164"/>
      <c r="AN126" s="164"/>
      <c r="AO126" s="164"/>
      <c r="AP126" s="164"/>
      <c r="AQ126" s="164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</row>
    <row r="127" spans="2:55" s="29" customFormat="1" ht="21" customHeight="1" x14ac:dyDescent="0.3">
      <c r="B127" s="161"/>
      <c r="C127" s="162"/>
      <c r="D127" s="162"/>
      <c r="E127" s="163"/>
      <c r="F127" s="192"/>
      <c r="G127" s="192"/>
      <c r="H127" s="192"/>
      <c r="I127" s="192"/>
      <c r="J127" s="186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8"/>
      <c r="V127" s="168"/>
      <c r="W127" s="169"/>
      <c r="X127" s="169"/>
      <c r="Y127" s="170"/>
      <c r="Z127" s="193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5"/>
      <c r="AL127" s="164"/>
      <c r="AM127" s="164"/>
      <c r="AN127" s="164"/>
      <c r="AO127" s="164"/>
      <c r="AP127" s="164"/>
      <c r="AQ127" s="164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</row>
    <row r="128" spans="2:55" s="29" customFormat="1" ht="21" customHeight="1" x14ac:dyDescent="0.3">
      <c r="B128" s="161"/>
      <c r="C128" s="162"/>
      <c r="D128" s="162"/>
      <c r="E128" s="163"/>
      <c r="F128" s="192"/>
      <c r="G128" s="192"/>
      <c r="H128" s="192"/>
      <c r="I128" s="192"/>
      <c r="J128" s="186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8"/>
      <c r="V128" s="168"/>
      <c r="W128" s="169"/>
      <c r="X128" s="169"/>
      <c r="Y128" s="170"/>
      <c r="Z128" s="193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5"/>
      <c r="AL128" s="164"/>
      <c r="AM128" s="164"/>
      <c r="AN128" s="164"/>
      <c r="AO128" s="164"/>
      <c r="AP128" s="164"/>
      <c r="AQ128" s="164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</row>
    <row r="129" spans="2:55" s="29" customFormat="1" ht="21" customHeight="1" x14ac:dyDescent="0.3">
      <c r="B129" s="161"/>
      <c r="C129" s="162"/>
      <c r="D129" s="162"/>
      <c r="E129" s="163"/>
      <c r="F129" s="192"/>
      <c r="G129" s="192"/>
      <c r="H129" s="192"/>
      <c r="I129" s="192"/>
      <c r="J129" s="186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8"/>
      <c r="V129" s="168"/>
      <c r="W129" s="169"/>
      <c r="X129" s="169"/>
      <c r="Y129" s="170"/>
      <c r="Z129" s="193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5"/>
      <c r="AL129" s="164"/>
      <c r="AM129" s="164"/>
      <c r="AN129" s="164"/>
      <c r="AO129" s="164"/>
      <c r="AP129" s="164"/>
      <c r="AQ129" s="164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</row>
    <row r="130" spans="2:55" s="29" customFormat="1" ht="21" customHeight="1" x14ac:dyDescent="0.3">
      <c r="B130" s="161"/>
      <c r="C130" s="162"/>
      <c r="D130" s="162"/>
      <c r="E130" s="163"/>
      <c r="F130" s="192"/>
      <c r="G130" s="192"/>
      <c r="H130" s="192"/>
      <c r="I130" s="192"/>
      <c r="J130" s="189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1"/>
      <c r="V130" s="171"/>
      <c r="W130" s="172"/>
      <c r="X130" s="172"/>
      <c r="Y130" s="173"/>
      <c r="Z130" s="199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1"/>
      <c r="AL130" s="164"/>
      <c r="AM130" s="164"/>
      <c r="AN130" s="164"/>
      <c r="AO130" s="164"/>
      <c r="AP130" s="164"/>
      <c r="AQ130" s="164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</row>
    <row r="131" spans="2:55" s="29" customFormat="1" ht="21" customHeight="1" x14ac:dyDescent="0.3">
      <c r="B131" s="161"/>
      <c r="C131" s="162"/>
      <c r="D131" s="162"/>
      <c r="E131" s="163"/>
      <c r="F131" s="192"/>
      <c r="G131" s="192"/>
      <c r="H131" s="192"/>
      <c r="I131" s="192"/>
      <c r="J131" s="183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5"/>
      <c r="V131" s="165"/>
      <c r="W131" s="166"/>
      <c r="X131" s="166"/>
      <c r="Y131" s="167"/>
      <c r="Z131" s="196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8"/>
      <c r="AL131" s="164"/>
      <c r="AM131" s="164"/>
      <c r="AN131" s="164"/>
      <c r="AO131" s="164"/>
      <c r="AP131" s="164"/>
      <c r="AQ131" s="164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</row>
    <row r="132" spans="2:55" s="29" customFormat="1" ht="21" customHeight="1" x14ac:dyDescent="0.3">
      <c r="B132" s="161"/>
      <c r="C132" s="162"/>
      <c r="D132" s="162"/>
      <c r="E132" s="163"/>
      <c r="F132" s="192"/>
      <c r="G132" s="192"/>
      <c r="H132" s="192"/>
      <c r="I132" s="192"/>
      <c r="J132" s="186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8"/>
      <c r="V132" s="168"/>
      <c r="W132" s="169"/>
      <c r="X132" s="169"/>
      <c r="Y132" s="170"/>
      <c r="Z132" s="193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5"/>
      <c r="AL132" s="164"/>
      <c r="AM132" s="164"/>
      <c r="AN132" s="164"/>
      <c r="AO132" s="164"/>
      <c r="AP132" s="164"/>
      <c r="AQ132" s="164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</row>
    <row r="133" spans="2:55" s="29" customFormat="1" ht="21" customHeight="1" x14ac:dyDescent="0.3">
      <c r="B133" s="161"/>
      <c r="C133" s="162"/>
      <c r="D133" s="162"/>
      <c r="E133" s="163"/>
      <c r="F133" s="192"/>
      <c r="G133" s="192"/>
      <c r="H133" s="192"/>
      <c r="I133" s="192"/>
      <c r="J133" s="186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8"/>
      <c r="V133" s="168"/>
      <c r="W133" s="169"/>
      <c r="X133" s="169"/>
      <c r="Y133" s="170"/>
      <c r="Z133" s="193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5"/>
      <c r="AL133" s="164"/>
      <c r="AM133" s="164"/>
      <c r="AN133" s="164"/>
      <c r="AO133" s="164"/>
      <c r="AP133" s="164"/>
      <c r="AQ133" s="164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</row>
    <row r="134" spans="2:55" s="29" customFormat="1" ht="21" customHeight="1" x14ac:dyDescent="0.3">
      <c r="B134" s="161"/>
      <c r="C134" s="162"/>
      <c r="D134" s="162"/>
      <c r="E134" s="163"/>
      <c r="F134" s="192"/>
      <c r="G134" s="192"/>
      <c r="H134" s="192"/>
      <c r="I134" s="192"/>
      <c r="J134" s="186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8"/>
      <c r="V134" s="168"/>
      <c r="W134" s="169"/>
      <c r="X134" s="169"/>
      <c r="Y134" s="170"/>
      <c r="Z134" s="193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5"/>
      <c r="AL134" s="164"/>
      <c r="AM134" s="164"/>
      <c r="AN134" s="164"/>
      <c r="AO134" s="164"/>
      <c r="AP134" s="164"/>
      <c r="AQ134" s="164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</row>
    <row r="135" spans="2:55" s="29" customFormat="1" ht="21" customHeight="1" x14ac:dyDescent="0.3">
      <c r="B135" s="161"/>
      <c r="C135" s="162"/>
      <c r="D135" s="162"/>
      <c r="E135" s="163"/>
      <c r="F135" s="192"/>
      <c r="G135" s="192"/>
      <c r="H135" s="192"/>
      <c r="I135" s="192"/>
      <c r="J135" s="186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8"/>
      <c r="V135" s="168"/>
      <c r="W135" s="169"/>
      <c r="X135" s="169"/>
      <c r="Y135" s="170"/>
      <c r="Z135" s="193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5"/>
      <c r="AL135" s="164"/>
      <c r="AM135" s="164"/>
      <c r="AN135" s="164"/>
      <c r="AO135" s="164"/>
      <c r="AP135" s="164"/>
      <c r="AQ135" s="164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</row>
    <row r="136" spans="2:55" s="29" customFormat="1" ht="21" customHeight="1" x14ac:dyDescent="0.3">
      <c r="B136" s="161"/>
      <c r="C136" s="162"/>
      <c r="D136" s="162"/>
      <c r="E136" s="163"/>
      <c r="F136" s="192"/>
      <c r="G136" s="192"/>
      <c r="H136" s="192"/>
      <c r="I136" s="192"/>
      <c r="J136" s="186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8"/>
      <c r="V136" s="168"/>
      <c r="W136" s="169"/>
      <c r="X136" s="169"/>
      <c r="Y136" s="170"/>
      <c r="Z136" s="193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5"/>
      <c r="AL136" s="164"/>
      <c r="AM136" s="164"/>
      <c r="AN136" s="164"/>
      <c r="AO136" s="164"/>
      <c r="AP136" s="164"/>
      <c r="AQ136" s="164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</row>
    <row r="137" spans="2:55" s="29" customFormat="1" ht="21" customHeight="1" x14ac:dyDescent="0.3">
      <c r="B137" s="161"/>
      <c r="C137" s="162"/>
      <c r="D137" s="162"/>
      <c r="E137" s="163"/>
      <c r="F137" s="192"/>
      <c r="G137" s="192"/>
      <c r="H137" s="192"/>
      <c r="I137" s="192"/>
      <c r="J137" s="186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8"/>
      <c r="V137" s="168"/>
      <c r="W137" s="169"/>
      <c r="X137" s="169"/>
      <c r="Y137" s="170"/>
      <c r="Z137" s="193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5"/>
      <c r="AL137" s="164"/>
      <c r="AM137" s="164"/>
      <c r="AN137" s="164"/>
      <c r="AO137" s="164"/>
      <c r="AP137" s="164"/>
      <c r="AQ137" s="164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</row>
    <row r="138" spans="2:55" s="29" customFormat="1" ht="21" customHeight="1" x14ac:dyDescent="0.3">
      <c r="B138" s="161"/>
      <c r="C138" s="162"/>
      <c r="D138" s="162"/>
      <c r="E138" s="163"/>
      <c r="F138" s="192"/>
      <c r="G138" s="192"/>
      <c r="H138" s="192"/>
      <c r="I138" s="192"/>
      <c r="J138" s="189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1"/>
      <c r="V138" s="171"/>
      <c r="W138" s="172"/>
      <c r="X138" s="172"/>
      <c r="Y138" s="173"/>
      <c r="Z138" s="199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1"/>
      <c r="AL138" s="164"/>
      <c r="AM138" s="164"/>
      <c r="AN138" s="164"/>
      <c r="AO138" s="164"/>
      <c r="AP138" s="164"/>
      <c r="AQ138" s="164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</row>
    <row r="139" spans="2:55" s="29" customFormat="1" ht="21" customHeight="1" x14ac:dyDescent="0.3">
      <c r="B139" s="161"/>
      <c r="C139" s="162"/>
      <c r="D139" s="162"/>
      <c r="E139" s="163"/>
      <c r="F139" s="192"/>
      <c r="G139" s="192"/>
      <c r="H139" s="192"/>
      <c r="I139" s="192"/>
      <c r="J139" s="183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5"/>
      <c r="V139" s="165"/>
      <c r="W139" s="166"/>
      <c r="X139" s="166"/>
      <c r="Y139" s="167"/>
      <c r="Z139" s="196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8"/>
      <c r="AL139" s="164"/>
      <c r="AM139" s="164"/>
      <c r="AN139" s="164"/>
      <c r="AO139" s="164"/>
      <c r="AP139" s="164"/>
      <c r="AQ139" s="164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</row>
    <row r="140" spans="2:55" s="29" customFormat="1" ht="21" customHeight="1" x14ac:dyDescent="0.3">
      <c r="B140" s="161"/>
      <c r="C140" s="162"/>
      <c r="D140" s="162"/>
      <c r="E140" s="163"/>
      <c r="F140" s="192"/>
      <c r="G140" s="192"/>
      <c r="H140" s="192"/>
      <c r="I140" s="192"/>
      <c r="J140" s="186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8"/>
      <c r="V140" s="168"/>
      <c r="W140" s="169"/>
      <c r="X140" s="169"/>
      <c r="Y140" s="170"/>
      <c r="Z140" s="193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5"/>
      <c r="AL140" s="164"/>
      <c r="AM140" s="164"/>
      <c r="AN140" s="164"/>
      <c r="AO140" s="164"/>
      <c r="AP140" s="164"/>
      <c r="AQ140" s="164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</row>
    <row r="141" spans="2:55" s="29" customFormat="1" ht="21" customHeight="1" x14ac:dyDescent="0.3">
      <c r="B141" s="161"/>
      <c r="C141" s="162"/>
      <c r="D141" s="162"/>
      <c r="E141" s="163"/>
      <c r="F141" s="192"/>
      <c r="G141" s="192"/>
      <c r="H141" s="192"/>
      <c r="I141" s="192"/>
      <c r="J141" s="186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8"/>
      <c r="V141" s="168"/>
      <c r="W141" s="169"/>
      <c r="X141" s="169"/>
      <c r="Y141" s="170"/>
      <c r="Z141" s="193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5"/>
      <c r="AL141" s="164"/>
      <c r="AM141" s="164"/>
      <c r="AN141" s="164"/>
      <c r="AO141" s="164"/>
      <c r="AP141" s="164"/>
      <c r="AQ141" s="164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</row>
    <row r="142" spans="2:55" s="29" customFormat="1" ht="21" customHeight="1" x14ac:dyDescent="0.3">
      <c r="B142" s="161"/>
      <c r="C142" s="162"/>
      <c r="D142" s="162"/>
      <c r="E142" s="163"/>
      <c r="F142" s="192"/>
      <c r="G142" s="192"/>
      <c r="H142" s="192"/>
      <c r="I142" s="192"/>
      <c r="J142" s="186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8"/>
      <c r="V142" s="168"/>
      <c r="W142" s="169"/>
      <c r="X142" s="169"/>
      <c r="Y142" s="170"/>
      <c r="Z142" s="193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5"/>
      <c r="AL142" s="164"/>
      <c r="AM142" s="164"/>
      <c r="AN142" s="164"/>
      <c r="AO142" s="164"/>
      <c r="AP142" s="164"/>
      <c r="AQ142" s="164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</row>
    <row r="143" spans="2:55" s="29" customFormat="1" ht="21" customHeight="1" x14ac:dyDescent="0.3">
      <c r="B143" s="161"/>
      <c r="C143" s="162"/>
      <c r="D143" s="162"/>
      <c r="E143" s="163"/>
      <c r="F143" s="192"/>
      <c r="G143" s="192"/>
      <c r="H143" s="192"/>
      <c r="I143" s="192"/>
      <c r="J143" s="186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8"/>
      <c r="V143" s="168"/>
      <c r="W143" s="169"/>
      <c r="X143" s="169"/>
      <c r="Y143" s="170"/>
      <c r="Z143" s="193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5"/>
      <c r="AL143" s="164"/>
      <c r="AM143" s="164"/>
      <c r="AN143" s="164"/>
      <c r="AO143" s="164"/>
      <c r="AP143" s="164"/>
      <c r="AQ143" s="164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</row>
    <row r="144" spans="2:55" s="29" customFormat="1" ht="21" customHeight="1" x14ac:dyDescent="0.3">
      <c r="B144" s="161"/>
      <c r="C144" s="162"/>
      <c r="D144" s="162"/>
      <c r="E144" s="163"/>
      <c r="F144" s="192"/>
      <c r="G144" s="192"/>
      <c r="H144" s="192"/>
      <c r="I144" s="192"/>
      <c r="J144" s="186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8"/>
      <c r="V144" s="168"/>
      <c r="W144" s="169"/>
      <c r="X144" s="169"/>
      <c r="Y144" s="170"/>
      <c r="Z144" s="193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5"/>
      <c r="AL144" s="164"/>
      <c r="AM144" s="164"/>
      <c r="AN144" s="164"/>
      <c r="AO144" s="164"/>
      <c r="AP144" s="164"/>
      <c r="AQ144" s="164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</row>
    <row r="145" spans="2:55" s="29" customFormat="1" ht="21" customHeight="1" x14ac:dyDescent="0.3">
      <c r="B145" s="161"/>
      <c r="C145" s="162"/>
      <c r="D145" s="162"/>
      <c r="E145" s="163"/>
      <c r="F145" s="192"/>
      <c r="G145" s="192"/>
      <c r="H145" s="192"/>
      <c r="I145" s="192"/>
      <c r="J145" s="186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8"/>
      <c r="V145" s="168"/>
      <c r="W145" s="169"/>
      <c r="X145" s="169"/>
      <c r="Y145" s="170"/>
      <c r="Z145" s="193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5"/>
      <c r="AL145" s="164"/>
      <c r="AM145" s="164"/>
      <c r="AN145" s="164"/>
      <c r="AO145" s="164"/>
      <c r="AP145" s="164"/>
      <c r="AQ145" s="164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</row>
    <row r="146" spans="2:55" s="29" customFormat="1" ht="21" customHeight="1" x14ac:dyDescent="0.3">
      <c r="B146" s="161"/>
      <c r="C146" s="162"/>
      <c r="D146" s="162"/>
      <c r="E146" s="163"/>
      <c r="F146" s="192"/>
      <c r="G146" s="192"/>
      <c r="H146" s="192"/>
      <c r="I146" s="192"/>
      <c r="J146" s="189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1"/>
      <c r="V146" s="171"/>
      <c r="W146" s="172"/>
      <c r="X146" s="172"/>
      <c r="Y146" s="173"/>
      <c r="Z146" s="199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1"/>
      <c r="AL146" s="164"/>
      <c r="AM146" s="164"/>
      <c r="AN146" s="164"/>
      <c r="AO146" s="164"/>
      <c r="AP146" s="164"/>
      <c r="AQ146" s="164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</row>
    <row r="147" spans="2:55" s="29" customFormat="1" ht="21" customHeight="1" x14ac:dyDescent="0.3">
      <c r="B147" s="161"/>
      <c r="C147" s="162"/>
      <c r="D147" s="162"/>
      <c r="E147" s="163"/>
      <c r="F147" s="192"/>
      <c r="G147" s="192"/>
      <c r="H147" s="192"/>
      <c r="I147" s="192"/>
      <c r="J147" s="183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5"/>
      <c r="V147" s="165"/>
      <c r="W147" s="166"/>
      <c r="X147" s="166"/>
      <c r="Y147" s="167"/>
      <c r="Z147" s="196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8"/>
      <c r="AL147" s="164"/>
      <c r="AM147" s="164"/>
      <c r="AN147" s="164"/>
      <c r="AO147" s="164"/>
      <c r="AP147" s="164"/>
      <c r="AQ147" s="164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</row>
    <row r="148" spans="2:55" s="29" customFormat="1" ht="21" customHeight="1" x14ac:dyDescent="0.3">
      <c r="B148" s="161"/>
      <c r="C148" s="162"/>
      <c r="D148" s="162"/>
      <c r="E148" s="163"/>
      <c r="F148" s="192"/>
      <c r="G148" s="192"/>
      <c r="H148" s="192"/>
      <c r="I148" s="192"/>
      <c r="J148" s="186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8"/>
      <c r="V148" s="168"/>
      <c r="W148" s="169"/>
      <c r="X148" s="169"/>
      <c r="Y148" s="170"/>
      <c r="Z148" s="193"/>
      <c r="AA148" s="194"/>
      <c r="AB148" s="194"/>
      <c r="AC148" s="194"/>
      <c r="AD148" s="194"/>
      <c r="AE148" s="194"/>
      <c r="AF148" s="194"/>
      <c r="AG148" s="194"/>
      <c r="AH148" s="194"/>
      <c r="AI148" s="194"/>
      <c r="AJ148" s="194"/>
      <c r="AK148" s="195"/>
      <c r="AL148" s="164"/>
      <c r="AM148" s="164"/>
      <c r="AN148" s="164"/>
      <c r="AO148" s="164"/>
      <c r="AP148" s="164"/>
      <c r="AQ148" s="164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</row>
    <row r="149" spans="2:55" s="29" customFormat="1" ht="21" customHeight="1" x14ac:dyDescent="0.3">
      <c r="B149" s="161"/>
      <c r="C149" s="162"/>
      <c r="D149" s="162"/>
      <c r="E149" s="163"/>
      <c r="F149" s="192"/>
      <c r="G149" s="192"/>
      <c r="H149" s="192"/>
      <c r="I149" s="192"/>
      <c r="J149" s="186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8"/>
      <c r="V149" s="168"/>
      <c r="W149" s="169"/>
      <c r="X149" s="169"/>
      <c r="Y149" s="170"/>
      <c r="Z149" s="193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5"/>
      <c r="AL149" s="164"/>
      <c r="AM149" s="164"/>
      <c r="AN149" s="164"/>
      <c r="AO149" s="164"/>
      <c r="AP149" s="164"/>
      <c r="AQ149" s="164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</row>
    <row r="150" spans="2:55" s="29" customFormat="1" ht="21" customHeight="1" x14ac:dyDescent="0.3">
      <c r="B150" s="161"/>
      <c r="C150" s="162"/>
      <c r="D150" s="162"/>
      <c r="E150" s="163"/>
      <c r="F150" s="192"/>
      <c r="G150" s="192"/>
      <c r="H150" s="192"/>
      <c r="I150" s="192"/>
      <c r="J150" s="186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8"/>
      <c r="V150" s="168"/>
      <c r="W150" s="169"/>
      <c r="X150" s="169"/>
      <c r="Y150" s="170"/>
      <c r="Z150" s="193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5"/>
      <c r="AL150" s="164"/>
      <c r="AM150" s="164"/>
      <c r="AN150" s="164"/>
      <c r="AO150" s="164"/>
      <c r="AP150" s="164"/>
      <c r="AQ150" s="164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</row>
    <row r="151" spans="2:55" s="29" customFormat="1" ht="21" customHeight="1" x14ac:dyDescent="0.3">
      <c r="B151" s="161"/>
      <c r="C151" s="162"/>
      <c r="D151" s="162"/>
      <c r="E151" s="163"/>
      <c r="F151" s="192"/>
      <c r="G151" s="192"/>
      <c r="H151" s="192"/>
      <c r="I151" s="192"/>
      <c r="J151" s="186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8"/>
      <c r="V151" s="168"/>
      <c r="W151" s="169"/>
      <c r="X151" s="169"/>
      <c r="Y151" s="170"/>
      <c r="Z151" s="193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5"/>
      <c r="AL151" s="164"/>
      <c r="AM151" s="164"/>
      <c r="AN151" s="164"/>
      <c r="AO151" s="164"/>
      <c r="AP151" s="164"/>
      <c r="AQ151" s="164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</row>
    <row r="152" spans="2:55" s="29" customFormat="1" ht="21" customHeight="1" x14ac:dyDescent="0.3">
      <c r="B152" s="161"/>
      <c r="C152" s="162"/>
      <c r="D152" s="162"/>
      <c r="E152" s="163"/>
      <c r="F152" s="192"/>
      <c r="G152" s="192"/>
      <c r="H152" s="192"/>
      <c r="I152" s="192"/>
      <c r="J152" s="186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8"/>
      <c r="V152" s="168"/>
      <c r="W152" s="169"/>
      <c r="X152" s="169"/>
      <c r="Y152" s="170"/>
      <c r="Z152" s="193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5"/>
      <c r="AL152" s="164"/>
      <c r="AM152" s="164"/>
      <c r="AN152" s="164"/>
      <c r="AO152" s="164"/>
      <c r="AP152" s="164"/>
      <c r="AQ152" s="164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</row>
    <row r="153" spans="2:55" s="29" customFormat="1" ht="21" customHeight="1" x14ac:dyDescent="0.3">
      <c r="B153" s="161"/>
      <c r="C153" s="162"/>
      <c r="D153" s="162"/>
      <c r="E153" s="163"/>
      <c r="F153" s="192"/>
      <c r="G153" s="192"/>
      <c r="H153" s="192"/>
      <c r="I153" s="192"/>
      <c r="J153" s="186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8"/>
      <c r="V153" s="168"/>
      <c r="W153" s="169"/>
      <c r="X153" s="169"/>
      <c r="Y153" s="170"/>
      <c r="Z153" s="193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5"/>
      <c r="AL153" s="164"/>
      <c r="AM153" s="164"/>
      <c r="AN153" s="164"/>
      <c r="AO153" s="164"/>
      <c r="AP153" s="164"/>
      <c r="AQ153" s="164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</row>
    <row r="154" spans="2:55" s="29" customFormat="1" ht="21" customHeight="1" x14ac:dyDescent="0.3">
      <c r="B154" s="161"/>
      <c r="C154" s="162"/>
      <c r="D154" s="162"/>
      <c r="E154" s="163"/>
      <c r="F154" s="192"/>
      <c r="G154" s="192"/>
      <c r="H154" s="192"/>
      <c r="I154" s="192"/>
      <c r="J154" s="189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1"/>
      <c r="V154" s="171"/>
      <c r="W154" s="172"/>
      <c r="X154" s="172"/>
      <c r="Y154" s="173"/>
      <c r="Z154" s="199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1"/>
      <c r="AL154" s="164"/>
      <c r="AM154" s="164"/>
      <c r="AN154" s="164"/>
      <c r="AO154" s="164"/>
      <c r="AP154" s="164"/>
      <c r="AQ154" s="164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</row>
    <row r="155" spans="2:55" s="29" customFormat="1" ht="21" customHeight="1" x14ac:dyDescent="0.3">
      <c r="B155" s="161"/>
      <c r="C155" s="162"/>
      <c r="D155" s="162"/>
      <c r="E155" s="163"/>
      <c r="F155" s="192"/>
      <c r="G155" s="192"/>
      <c r="H155" s="192"/>
      <c r="I155" s="192"/>
      <c r="J155" s="174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6"/>
      <c r="V155" s="165"/>
      <c r="W155" s="166"/>
      <c r="X155" s="166"/>
      <c r="Y155" s="167"/>
      <c r="Z155" s="196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8"/>
      <c r="AL155" s="164"/>
      <c r="AM155" s="164"/>
      <c r="AN155" s="164"/>
      <c r="AO155" s="164"/>
      <c r="AP155" s="164"/>
      <c r="AQ155" s="164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</row>
    <row r="156" spans="2:55" s="29" customFormat="1" ht="21" customHeight="1" x14ac:dyDescent="0.3">
      <c r="B156" s="161"/>
      <c r="C156" s="162"/>
      <c r="D156" s="162"/>
      <c r="E156" s="163"/>
      <c r="F156" s="192"/>
      <c r="G156" s="192"/>
      <c r="H156" s="192"/>
      <c r="I156" s="192"/>
      <c r="J156" s="177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9"/>
      <c r="V156" s="168"/>
      <c r="W156" s="169"/>
      <c r="X156" s="169"/>
      <c r="Y156" s="170"/>
      <c r="Z156" s="193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5"/>
      <c r="AL156" s="164"/>
      <c r="AM156" s="164"/>
      <c r="AN156" s="164"/>
      <c r="AO156" s="164"/>
      <c r="AP156" s="164"/>
      <c r="AQ156" s="164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</row>
    <row r="157" spans="2:55" s="29" customFormat="1" ht="21" customHeight="1" x14ac:dyDescent="0.3">
      <c r="B157" s="161"/>
      <c r="C157" s="162"/>
      <c r="D157" s="162"/>
      <c r="E157" s="163"/>
      <c r="F157" s="192"/>
      <c r="G157" s="192"/>
      <c r="H157" s="192"/>
      <c r="I157" s="192"/>
      <c r="J157" s="177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9"/>
      <c r="V157" s="168"/>
      <c r="W157" s="169"/>
      <c r="X157" s="169"/>
      <c r="Y157" s="170"/>
      <c r="Z157" s="193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5"/>
      <c r="AL157" s="164"/>
      <c r="AM157" s="164"/>
      <c r="AN157" s="164"/>
      <c r="AO157" s="164"/>
      <c r="AP157" s="164"/>
      <c r="AQ157" s="164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</row>
    <row r="158" spans="2:55" s="29" customFormat="1" ht="21" customHeight="1" x14ac:dyDescent="0.3">
      <c r="B158" s="161"/>
      <c r="C158" s="162"/>
      <c r="D158" s="162"/>
      <c r="E158" s="163"/>
      <c r="F158" s="192"/>
      <c r="G158" s="192"/>
      <c r="H158" s="192"/>
      <c r="I158" s="192"/>
      <c r="J158" s="177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9"/>
      <c r="V158" s="168"/>
      <c r="W158" s="169"/>
      <c r="X158" s="169"/>
      <c r="Y158" s="170"/>
      <c r="Z158" s="193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95"/>
      <c r="AL158" s="164"/>
      <c r="AM158" s="164"/>
      <c r="AN158" s="164"/>
      <c r="AO158" s="164"/>
      <c r="AP158" s="164"/>
      <c r="AQ158" s="164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</row>
    <row r="159" spans="2:55" s="29" customFormat="1" ht="21" customHeight="1" x14ac:dyDescent="0.3">
      <c r="B159" s="161"/>
      <c r="C159" s="162"/>
      <c r="D159" s="162"/>
      <c r="E159" s="163"/>
      <c r="F159" s="192"/>
      <c r="G159" s="192"/>
      <c r="H159" s="192"/>
      <c r="I159" s="192"/>
      <c r="J159" s="177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9"/>
      <c r="V159" s="168"/>
      <c r="W159" s="169"/>
      <c r="X159" s="169"/>
      <c r="Y159" s="170"/>
      <c r="Z159" s="193"/>
      <c r="AA159" s="194"/>
      <c r="AB159" s="194"/>
      <c r="AC159" s="194"/>
      <c r="AD159" s="194"/>
      <c r="AE159" s="194"/>
      <c r="AF159" s="194"/>
      <c r="AG159" s="194"/>
      <c r="AH159" s="194"/>
      <c r="AI159" s="194"/>
      <c r="AJ159" s="194"/>
      <c r="AK159" s="195"/>
      <c r="AL159" s="164"/>
      <c r="AM159" s="164"/>
      <c r="AN159" s="164"/>
      <c r="AO159" s="164"/>
      <c r="AP159" s="164"/>
      <c r="AQ159" s="164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</row>
    <row r="160" spans="2:55" s="29" customFormat="1" ht="21" customHeight="1" x14ac:dyDescent="0.3">
      <c r="B160" s="161"/>
      <c r="C160" s="162"/>
      <c r="D160" s="162"/>
      <c r="E160" s="163"/>
      <c r="F160" s="192"/>
      <c r="G160" s="192"/>
      <c r="H160" s="192"/>
      <c r="I160" s="192"/>
      <c r="J160" s="177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9"/>
      <c r="V160" s="168"/>
      <c r="W160" s="169"/>
      <c r="X160" s="169"/>
      <c r="Y160" s="170"/>
      <c r="Z160" s="193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5"/>
      <c r="AL160" s="164"/>
      <c r="AM160" s="164"/>
      <c r="AN160" s="164"/>
      <c r="AO160" s="164"/>
      <c r="AP160" s="164"/>
      <c r="AQ160" s="164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</row>
    <row r="161" spans="2:55" s="29" customFormat="1" ht="21" customHeight="1" x14ac:dyDescent="0.3">
      <c r="B161" s="161"/>
      <c r="C161" s="162"/>
      <c r="D161" s="162"/>
      <c r="E161" s="163"/>
      <c r="F161" s="192"/>
      <c r="G161" s="192"/>
      <c r="H161" s="192"/>
      <c r="I161" s="192"/>
      <c r="J161" s="177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9"/>
      <c r="V161" s="168"/>
      <c r="W161" s="169"/>
      <c r="X161" s="169"/>
      <c r="Y161" s="170"/>
      <c r="Z161" s="193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5"/>
      <c r="AL161" s="164"/>
      <c r="AM161" s="164"/>
      <c r="AN161" s="164"/>
      <c r="AO161" s="164"/>
      <c r="AP161" s="164"/>
      <c r="AQ161" s="164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</row>
    <row r="162" spans="2:55" s="29" customFormat="1" ht="21" customHeight="1" x14ac:dyDescent="0.3">
      <c r="B162" s="161"/>
      <c r="C162" s="162"/>
      <c r="D162" s="162"/>
      <c r="E162" s="163"/>
      <c r="F162" s="192"/>
      <c r="G162" s="192"/>
      <c r="H162" s="192"/>
      <c r="I162" s="192"/>
      <c r="J162" s="180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2"/>
      <c r="V162" s="171"/>
      <c r="W162" s="172"/>
      <c r="X162" s="172"/>
      <c r="Y162" s="173"/>
      <c r="Z162" s="199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0"/>
      <c r="AK162" s="201"/>
      <c r="AL162" s="164"/>
      <c r="AM162" s="164"/>
      <c r="AN162" s="164"/>
      <c r="AO162" s="164"/>
      <c r="AP162" s="164"/>
      <c r="AQ162" s="164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</row>
    <row r="163" spans="2:55" s="29" customFormat="1" ht="21" customHeight="1" x14ac:dyDescent="0.3">
      <c r="B163" s="161"/>
      <c r="C163" s="162"/>
      <c r="D163" s="162"/>
      <c r="E163" s="163"/>
      <c r="F163" s="192"/>
      <c r="G163" s="192"/>
      <c r="H163" s="192"/>
      <c r="I163" s="192"/>
      <c r="J163" s="183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5"/>
      <c r="V163" s="165"/>
      <c r="W163" s="166"/>
      <c r="X163" s="166"/>
      <c r="Y163" s="167"/>
      <c r="Z163" s="196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8"/>
      <c r="AL163" s="164"/>
      <c r="AM163" s="164"/>
      <c r="AN163" s="164"/>
      <c r="AO163" s="164"/>
      <c r="AP163" s="164"/>
      <c r="AQ163" s="164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</row>
    <row r="164" spans="2:55" s="29" customFormat="1" ht="21" customHeight="1" x14ac:dyDescent="0.3">
      <c r="B164" s="161"/>
      <c r="C164" s="162"/>
      <c r="D164" s="162"/>
      <c r="E164" s="163"/>
      <c r="F164" s="192"/>
      <c r="G164" s="192"/>
      <c r="H164" s="192"/>
      <c r="I164" s="192"/>
      <c r="J164" s="186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8"/>
      <c r="V164" s="168"/>
      <c r="W164" s="169"/>
      <c r="X164" s="169"/>
      <c r="Y164" s="170"/>
      <c r="Z164" s="193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95"/>
      <c r="AL164" s="164"/>
      <c r="AM164" s="164"/>
      <c r="AN164" s="164"/>
      <c r="AO164" s="164"/>
      <c r="AP164" s="164"/>
      <c r="AQ164" s="164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</row>
    <row r="165" spans="2:55" s="29" customFormat="1" ht="21" customHeight="1" x14ac:dyDescent="0.3">
      <c r="B165" s="161"/>
      <c r="C165" s="162"/>
      <c r="D165" s="162"/>
      <c r="E165" s="163"/>
      <c r="F165" s="192"/>
      <c r="G165" s="192"/>
      <c r="H165" s="192"/>
      <c r="I165" s="192"/>
      <c r="J165" s="186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8"/>
      <c r="V165" s="168"/>
      <c r="W165" s="169"/>
      <c r="X165" s="169"/>
      <c r="Y165" s="170"/>
      <c r="Z165" s="193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5"/>
      <c r="AL165" s="164"/>
      <c r="AM165" s="164"/>
      <c r="AN165" s="164"/>
      <c r="AO165" s="164"/>
      <c r="AP165" s="164"/>
      <c r="AQ165" s="164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</row>
    <row r="166" spans="2:55" s="29" customFormat="1" ht="21" customHeight="1" x14ac:dyDescent="0.3">
      <c r="B166" s="161"/>
      <c r="C166" s="162"/>
      <c r="D166" s="162"/>
      <c r="E166" s="163"/>
      <c r="F166" s="192"/>
      <c r="G166" s="192"/>
      <c r="H166" s="192"/>
      <c r="I166" s="192"/>
      <c r="J166" s="186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8"/>
      <c r="V166" s="168"/>
      <c r="W166" s="169"/>
      <c r="X166" s="169"/>
      <c r="Y166" s="170"/>
      <c r="Z166" s="193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5"/>
      <c r="AL166" s="164"/>
      <c r="AM166" s="164"/>
      <c r="AN166" s="164"/>
      <c r="AO166" s="164"/>
      <c r="AP166" s="164"/>
      <c r="AQ166" s="164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</row>
    <row r="167" spans="2:55" s="29" customFormat="1" ht="21" customHeight="1" x14ac:dyDescent="0.3">
      <c r="B167" s="161"/>
      <c r="C167" s="162"/>
      <c r="D167" s="162"/>
      <c r="E167" s="163"/>
      <c r="F167" s="192"/>
      <c r="G167" s="192"/>
      <c r="H167" s="192"/>
      <c r="I167" s="192"/>
      <c r="J167" s="186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8"/>
      <c r="V167" s="168"/>
      <c r="W167" s="169"/>
      <c r="X167" s="169"/>
      <c r="Y167" s="170"/>
      <c r="Z167" s="193"/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5"/>
      <c r="AL167" s="164"/>
      <c r="AM167" s="164"/>
      <c r="AN167" s="164"/>
      <c r="AO167" s="164"/>
      <c r="AP167" s="164"/>
      <c r="AQ167" s="164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</row>
    <row r="168" spans="2:55" s="29" customFormat="1" ht="21" customHeight="1" x14ac:dyDescent="0.3">
      <c r="B168" s="161"/>
      <c r="C168" s="162"/>
      <c r="D168" s="162"/>
      <c r="E168" s="163"/>
      <c r="F168" s="192"/>
      <c r="G168" s="192"/>
      <c r="H168" s="192"/>
      <c r="I168" s="192"/>
      <c r="J168" s="186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8"/>
      <c r="V168" s="168"/>
      <c r="W168" s="169"/>
      <c r="X168" s="169"/>
      <c r="Y168" s="170"/>
      <c r="Z168" s="193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5"/>
      <c r="AL168" s="164"/>
      <c r="AM168" s="164"/>
      <c r="AN168" s="164"/>
      <c r="AO168" s="164"/>
      <c r="AP168" s="164"/>
      <c r="AQ168" s="164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</row>
    <row r="169" spans="2:55" s="29" customFormat="1" ht="21" customHeight="1" x14ac:dyDescent="0.3">
      <c r="B169" s="161"/>
      <c r="C169" s="162"/>
      <c r="D169" s="162"/>
      <c r="E169" s="163"/>
      <c r="F169" s="192"/>
      <c r="G169" s="192"/>
      <c r="H169" s="192"/>
      <c r="I169" s="192"/>
      <c r="J169" s="186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8"/>
      <c r="V169" s="168"/>
      <c r="W169" s="169"/>
      <c r="X169" s="169"/>
      <c r="Y169" s="170"/>
      <c r="Z169" s="193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5"/>
      <c r="AL169" s="164"/>
      <c r="AM169" s="164"/>
      <c r="AN169" s="164"/>
      <c r="AO169" s="164"/>
      <c r="AP169" s="164"/>
      <c r="AQ169" s="164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</row>
    <row r="170" spans="2:55" s="29" customFormat="1" ht="21" customHeight="1" x14ac:dyDescent="0.3">
      <c r="B170" s="161"/>
      <c r="C170" s="162"/>
      <c r="D170" s="162"/>
      <c r="E170" s="163"/>
      <c r="F170" s="192"/>
      <c r="G170" s="192"/>
      <c r="H170" s="192"/>
      <c r="I170" s="192"/>
      <c r="J170" s="189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1"/>
      <c r="V170" s="171"/>
      <c r="W170" s="172"/>
      <c r="X170" s="172"/>
      <c r="Y170" s="173"/>
      <c r="Z170" s="199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0"/>
      <c r="AK170" s="201"/>
      <c r="AL170" s="164"/>
      <c r="AM170" s="164"/>
      <c r="AN170" s="164"/>
      <c r="AO170" s="164"/>
      <c r="AP170" s="164"/>
      <c r="AQ170" s="164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</row>
    <row r="171" spans="2:55" s="29" customFormat="1" ht="21" customHeight="1" x14ac:dyDescent="0.3">
      <c r="B171" s="161"/>
      <c r="C171" s="162"/>
      <c r="D171" s="162"/>
      <c r="E171" s="163"/>
      <c r="F171" s="192"/>
      <c r="G171" s="192"/>
      <c r="H171" s="192"/>
      <c r="I171" s="192"/>
      <c r="J171" s="183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5"/>
      <c r="V171" s="165"/>
      <c r="W171" s="166"/>
      <c r="X171" s="166"/>
      <c r="Y171" s="167"/>
      <c r="Z171" s="196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8"/>
      <c r="AL171" s="164"/>
      <c r="AM171" s="164"/>
      <c r="AN171" s="164"/>
      <c r="AO171" s="164"/>
      <c r="AP171" s="164"/>
      <c r="AQ171" s="164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</row>
    <row r="172" spans="2:55" s="29" customFormat="1" ht="21" customHeight="1" x14ac:dyDescent="0.3">
      <c r="B172" s="161"/>
      <c r="C172" s="162"/>
      <c r="D172" s="162"/>
      <c r="E172" s="163"/>
      <c r="F172" s="192"/>
      <c r="G172" s="192"/>
      <c r="H172" s="192"/>
      <c r="I172" s="192"/>
      <c r="J172" s="186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8"/>
      <c r="V172" s="168"/>
      <c r="W172" s="169"/>
      <c r="X172" s="169"/>
      <c r="Y172" s="170"/>
      <c r="Z172" s="193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95"/>
      <c r="AL172" s="164"/>
      <c r="AM172" s="164"/>
      <c r="AN172" s="164"/>
      <c r="AO172" s="164"/>
      <c r="AP172" s="164"/>
      <c r="AQ172" s="164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</row>
    <row r="173" spans="2:55" s="29" customFormat="1" ht="21" customHeight="1" x14ac:dyDescent="0.3">
      <c r="B173" s="161"/>
      <c r="C173" s="162"/>
      <c r="D173" s="162"/>
      <c r="E173" s="163"/>
      <c r="F173" s="192"/>
      <c r="G173" s="192"/>
      <c r="H173" s="192"/>
      <c r="I173" s="192"/>
      <c r="J173" s="186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8"/>
      <c r="V173" s="168"/>
      <c r="W173" s="169"/>
      <c r="X173" s="169"/>
      <c r="Y173" s="170"/>
      <c r="Z173" s="193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5"/>
      <c r="AL173" s="164"/>
      <c r="AM173" s="164"/>
      <c r="AN173" s="164"/>
      <c r="AO173" s="164"/>
      <c r="AP173" s="164"/>
      <c r="AQ173" s="164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</row>
    <row r="174" spans="2:55" s="29" customFormat="1" ht="21" customHeight="1" x14ac:dyDescent="0.3">
      <c r="B174" s="161"/>
      <c r="C174" s="162"/>
      <c r="D174" s="162"/>
      <c r="E174" s="163"/>
      <c r="F174" s="192"/>
      <c r="G174" s="192"/>
      <c r="H174" s="192"/>
      <c r="I174" s="192"/>
      <c r="J174" s="186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8"/>
      <c r="V174" s="168"/>
      <c r="W174" s="169"/>
      <c r="X174" s="169"/>
      <c r="Y174" s="170"/>
      <c r="Z174" s="193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5"/>
      <c r="AL174" s="164"/>
      <c r="AM174" s="164"/>
      <c r="AN174" s="164"/>
      <c r="AO174" s="164"/>
      <c r="AP174" s="164"/>
      <c r="AQ174" s="164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</row>
    <row r="175" spans="2:55" s="29" customFormat="1" ht="21" customHeight="1" x14ac:dyDescent="0.3">
      <c r="B175" s="161"/>
      <c r="C175" s="162"/>
      <c r="D175" s="162"/>
      <c r="E175" s="163"/>
      <c r="F175" s="192"/>
      <c r="G175" s="192"/>
      <c r="H175" s="192"/>
      <c r="I175" s="192"/>
      <c r="J175" s="186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8"/>
      <c r="V175" s="168"/>
      <c r="W175" s="169"/>
      <c r="X175" s="169"/>
      <c r="Y175" s="170"/>
      <c r="Z175" s="193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5"/>
      <c r="AL175" s="164"/>
      <c r="AM175" s="164"/>
      <c r="AN175" s="164"/>
      <c r="AO175" s="164"/>
      <c r="AP175" s="164"/>
      <c r="AQ175" s="164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</row>
    <row r="176" spans="2:55" s="29" customFormat="1" ht="21" customHeight="1" x14ac:dyDescent="0.3">
      <c r="B176" s="161"/>
      <c r="C176" s="162"/>
      <c r="D176" s="162"/>
      <c r="E176" s="163"/>
      <c r="F176" s="192"/>
      <c r="G176" s="192"/>
      <c r="H176" s="192"/>
      <c r="I176" s="192"/>
      <c r="J176" s="186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8"/>
      <c r="V176" s="168"/>
      <c r="W176" s="169"/>
      <c r="X176" s="169"/>
      <c r="Y176" s="170"/>
      <c r="Z176" s="193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5"/>
      <c r="AL176" s="164"/>
      <c r="AM176" s="164"/>
      <c r="AN176" s="164"/>
      <c r="AO176" s="164"/>
      <c r="AP176" s="164"/>
      <c r="AQ176" s="164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</row>
    <row r="177" spans="2:55" s="29" customFormat="1" ht="21" customHeight="1" x14ac:dyDescent="0.3">
      <c r="B177" s="161"/>
      <c r="C177" s="162"/>
      <c r="D177" s="162"/>
      <c r="E177" s="163"/>
      <c r="F177" s="192"/>
      <c r="G177" s="192"/>
      <c r="H177" s="192"/>
      <c r="I177" s="192"/>
      <c r="J177" s="186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8"/>
      <c r="V177" s="168"/>
      <c r="W177" s="169"/>
      <c r="X177" s="169"/>
      <c r="Y177" s="170"/>
      <c r="Z177" s="193"/>
      <c r="AA177" s="194"/>
      <c r="AB177" s="194"/>
      <c r="AC177" s="194"/>
      <c r="AD177" s="194"/>
      <c r="AE177" s="194"/>
      <c r="AF177" s="194"/>
      <c r="AG177" s="194"/>
      <c r="AH177" s="194"/>
      <c r="AI177" s="194"/>
      <c r="AJ177" s="194"/>
      <c r="AK177" s="195"/>
      <c r="AL177" s="164"/>
      <c r="AM177" s="164"/>
      <c r="AN177" s="164"/>
      <c r="AO177" s="164"/>
      <c r="AP177" s="164"/>
      <c r="AQ177" s="164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</row>
    <row r="178" spans="2:55" s="29" customFormat="1" ht="21" customHeight="1" x14ac:dyDescent="0.3">
      <c r="B178" s="161"/>
      <c r="C178" s="162"/>
      <c r="D178" s="162"/>
      <c r="E178" s="163"/>
      <c r="F178" s="192"/>
      <c r="G178" s="192"/>
      <c r="H178" s="192"/>
      <c r="I178" s="192"/>
      <c r="J178" s="189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1"/>
      <c r="V178" s="171"/>
      <c r="W178" s="172"/>
      <c r="X178" s="172"/>
      <c r="Y178" s="173"/>
      <c r="Z178" s="199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1"/>
      <c r="AL178" s="164"/>
      <c r="AM178" s="164"/>
      <c r="AN178" s="164"/>
      <c r="AO178" s="164"/>
      <c r="AP178" s="164"/>
      <c r="AQ178" s="164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</row>
    <row r="179" spans="2:55" s="29" customFormat="1" ht="21" customHeight="1" x14ac:dyDescent="0.3">
      <c r="B179" s="161"/>
      <c r="C179" s="162"/>
      <c r="D179" s="162"/>
      <c r="E179" s="163"/>
      <c r="F179" s="192"/>
      <c r="G179" s="192"/>
      <c r="H179" s="192"/>
      <c r="I179" s="192"/>
      <c r="J179" s="183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5"/>
      <c r="V179" s="165"/>
      <c r="W179" s="166"/>
      <c r="X179" s="166"/>
      <c r="Y179" s="167"/>
      <c r="Z179" s="196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8"/>
      <c r="AL179" s="164"/>
      <c r="AM179" s="164"/>
      <c r="AN179" s="164"/>
      <c r="AO179" s="164"/>
      <c r="AP179" s="164"/>
      <c r="AQ179" s="164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</row>
    <row r="180" spans="2:55" s="29" customFormat="1" ht="21" customHeight="1" x14ac:dyDescent="0.3">
      <c r="B180" s="161"/>
      <c r="C180" s="162"/>
      <c r="D180" s="162"/>
      <c r="E180" s="163"/>
      <c r="F180" s="192"/>
      <c r="G180" s="192"/>
      <c r="H180" s="192"/>
      <c r="I180" s="192"/>
      <c r="J180" s="186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8"/>
      <c r="V180" s="168"/>
      <c r="W180" s="169"/>
      <c r="X180" s="169"/>
      <c r="Y180" s="170"/>
      <c r="Z180" s="193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5"/>
      <c r="AL180" s="164"/>
      <c r="AM180" s="164"/>
      <c r="AN180" s="164"/>
      <c r="AO180" s="164"/>
      <c r="AP180" s="164"/>
      <c r="AQ180" s="164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</row>
    <row r="181" spans="2:55" s="29" customFormat="1" ht="21" customHeight="1" x14ac:dyDescent="0.3">
      <c r="B181" s="161"/>
      <c r="C181" s="162"/>
      <c r="D181" s="162"/>
      <c r="E181" s="163"/>
      <c r="F181" s="192"/>
      <c r="G181" s="192"/>
      <c r="H181" s="192"/>
      <c r="I181" s="192"/>
      <c r="J181" s="186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8"/>
      <c r="V181" s="168"/>
      <c r="W181" s="169"/>
      <c r="X181" s="169"/>
      <c r="Y181" s="170"/>
      <c r="Z181" s="193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5"/>
      <c r="AL181" s="164"/>
      <c r="AM181" s="164"/>
      <c r="AN181" s="164"/>
      <c r="AO181" s="164"/>
      <c r="AP181" s="164"/>
      <c r="AQ181" s="164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</row>
    <row r="182" spans="2:55" s="29" customFormat="1" ht="21" customHeight="1" x14ac:dyDescent="0.3">
      <c r="B182" s="161"/>
      <c r="C182" s="162"/>
      <c r="D182" s="162"/>
      <c r="E182" s="163"/>
      <c r="F182" s="192"/>
      <c r="G182" s="192"/>
      <c r="H182" s="192"/>
      <c r="I182" s="192"/>
      <c r="J182" s="186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8"/>
      <c r="V182" s="168"/>
      <c r="W182" s="169"/>
      <c r="X182" s="169"/>
      <c r="Y182" s="170"/>
      <c r="Z182" s="193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5"/>
      <c r="AL182" s="164"/>
      <c r="AM182" s="164"/>
      <c r="AN182" s="164"/>
      <c r="AO182" s="164"/>
      <c r="AP182" s="164"/>
      <c r="AQ182" s="164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</row>
    <row r="183" spans="2:55" s="29" customFormat="1" ht="21" customHeight="1" x14ac:dyDescent="0.3">
      <c r="B183" s="161"/>
      <c r="C183" s="162"/>
      <c r="D183" s="162"/>
      <c r="E183" s="163"/>
      <c r="F183" s="192"/>
      <c r="G183" s="192"/>
      <c r="H183" s="192"/>
      <c r="I183" s="192"/>
      <c r="J183" s="186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8"/>
      <c r="V183" s="168"/>
      <c r="W183" s="169"/>
      <c r="X183" s="169"/>
      <c r="Y183" s="170"/>
      <c r="Z183" s="193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5"/>
      <c r="AL183" s="164"/>
      <c r="AM183" s="164"/>
      <c r="AN183" s="164"/>
      <c r="AO183" s="164"/>
      <c r="AP183" s="164"/>
      <c r="AQ183" s="164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</row>
    <row r="184" spans="2:55" s="29" customFormat="1" ht="21" customHeight="1" x14ac:dyDescent="0.3">
      <c r="B184" s="161"/>
      <c r="C184" s="162"/>
      <c r="D184" s="162"/>
      <c r="E184" s="163"/>
      <c r="F184" s="192"/>
      <c r="G184" s="192"/>
      <c r="H184" s="192"/>
      <c r="I184" s="192"/>
      <c r="J184" s="186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8"/>
      <c r="V184" s="168"/>
      <c r="W184" s="169"/>
      <c r="X184" s="169"/>
      <c r="Y184" s="170"/>
      <c r="Z184" s="193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5"/>
      <c r="AL184" s="164"/>
      <c r="AM184" s="164"/>
      <c r="AN184" s="164"/>
      <c r="AO184" s="164"/>
      <c r="AP184" s="164"/>
      <c r="AQ184" s="164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</row>
    <row r="185" spans="2:55" s="29" customFormat="1" ht="21" customHeight="1" x14ac:dyDescent="0.3">
      <c r="B185" s="161"/>
      <c r="C185" s="162"/>
      <c r="D185" s="162"/>
      <c r="E185" s="163"/>
      <c r="F185" s="192"/>
      <c r="G185" s="192"/>
      <c r="H185" s="192"/>
      <c r="I185" s="192"/>
      <c r="J185" s="186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8"/>
      <c r="V185" s="168"/>
      <c r="W185" s="169"/>
      <c r="X185" s="169"/>
      <c r="Y185" s="170"/>
      <c r="Z185" s="193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5"/>
      <c r="AL185" s="164"/>
      <c r="AM185" s="164"/>
      <c r="AN185" s="164"/>
      <c r="AO185" s="164"/>
      <c r="AP185" s="164"/>
      <c r="AQ185" s="164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</row>
    <row r="186" spans="2:55" s="29" customFormat="1" ht="21" customHeight="1" x14ac:dyDescent="0.3">
      <c r="B186" s="161"/>
      <c r="C186" s="162"/>
      <c r="D186" s="162"/>
      <c r="E186" s="163"/>
      <c r="F186" s="192"/>
      <c r="G186" s="192"/>
      <c r="H186" s="192"/>
      <c r="I186" s="192"/>
      <c r="J186" s="189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1"/>
      <c r="V186" s="171"/>
      <c r="W186" s="172"/>
      <c r="X186" s="172"/>
      <c r="Y186" s="173"/>
      <c r="Z186" s="199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1"/>
      <c r="AL186" s="164"/>
      <c r="AM186" s="164"/>
      <c r="AN186" s="164"/>
      <c r="AO186" s="164"/>
      <c r="AP186" s="164"/>
      <c r="AQ186" s="164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</row>
    <row r="187" spans="2:55" s="29" customFormat="1" ht="21" customHeight="1" x14ac:dyDescent="0.3">
      <c r="B187" s="161"/>
      <c r="C187" s="162"/>
      <c r="D187" s="162"/>
      <c r="E187" s="163"/>
      <c r="F187" s="192"/>
      <c r="G187" s="192"/>
      <c r="H187" s="192"/>
      <c r="I187" s="192"/>
      <c r="J187" s="183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5"/>
      <c r="V187" s="165"/>
      <c r="W187" s="166"/>
      <c r="X187" s="166"/>
      <c r="Y187" s="167"/>
      <c r="Z187" s="196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8"/>
      <c r="AL187" s="164"/>
      <c r="AM187" s="164"/>
      <c r="AN187" s="164"/>
      <c r="AO187" s="164"/>
      <c r="AP187" s="164"/>
      <c r="AQ187" s="164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</row>
    <row r="188" spans="2:55" s="29" customFormat="1" ht="21" customHeight="1" x14ac:dyDescent="0.3">
      <c r="B188" s="161"/>
      <c r="C188" s="162"/>
      <c r="D188" s="162"/>
      <c r="E188" s="163"/>
      <c r="F188" s="192"/>
      <c r="G188" s="192"/>
      <c r="H188" s="192"/>
      <c r="I188" s="192"/>
      <c r="J188" s="186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8"/>
      <c r="V188" s="168"/>
      <c r="W188" s="169"/>
      <c r="X188" s="169"/>
      <c r="Y188" s="170"/>
      <c r="Z188" s="193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5"/>
      <c r="AL188" s="164"/>
      <c r="AM188" s="164"/>
      <c r="AN188" s="164"/>
      <c r="AO188" s="164"/>
      <c r="AP188" s="164"/>
      <c r="AQ188" s="164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</row>
    <row r="189" spans="2:55" s="29" customFormat="1" ht="21" customHeight="1" x14ac:dyDescent="0.3">
      <c r="B189" s="161"/>
      <c r="C189" s="162"/>
      <c r="D189" s="162"/>
      <c r="E189" s="163"/>
      <c r="F189" s="192"/>
      <c r="G189" s="192"/>
      <c r="H189" s="192"/>
      <c r="I189" s="192"/>
      <c r="J189" s="186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8"/>
      <c r="V189" s="168"/>
      <c r="W189" s="169"/>
      <c r="X189" s="169"/>
      <c r="Y189" s="170"/>
      <c r="Z189" s="193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5"/>
      <c r="AL189" s="164"/>
      <c r="AM189" s="164"/>
      <c r="AN189" s="164"/>
      <c r="AO189" s="164"/>
      <c r="AP189" s="164"/>
      <c r="AQ189" s="164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</row>
    <row r="190" spans="2:55" s="29" customFormat="1" ht="21" customHeight="1" x14ac:dyDescent="0.3">
      <c r="B190" s="161"/>
      <c r="C190" s="162"/>
      <c r="D190" s="162"/>
      <c r="E190" s="163"/>
      <c r="F190" s="192"/>
      <c r="G190" s="192"/>
      <c r="H190" s="192"/>
      <c r="I190" s="192"/>
      <c r="J190" s="186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8"/>
      <c r="V190" s="168"/>
      <c r="W190" s="169"/>
      <c r="X190" s="169"/>
      <c r="Y190" s="170"/>
      <c r="Z190" s="193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5"/>
      <c r="AL190" s="164"/>
      <c r="AM190" s="164"/>
      <c r="AN190" s="164"/>
      <c r="AO190" s="164"/>
      <c r="AP190" s="164"/>
      <c r="AQ190" s="164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</row>
    <row r="191" spans="2:55" s="29" customFormat="1" ht="21" customHeight="1" x14ac:dyDescent="0.3">
      <c r="B191" s="161"/>
      <c r="C191" s="162"/>
      <c r="D191" s="162"/>
      <c r="E191" s="163"/>
      <c r="F191" s="192"/>
      <c r="G191" s="192"/>
      <c r="H191" s="192"/>
      <c r="I191" s="192"/>
      <c r="J191" s="186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8"/>
      <c r="V191" s="168"/>
      <c r="W191" s="169"/>
      <c r="X191" s="169"/>
      <c r="Y191" s="170"/>
      <c r="Z191" s="193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5"/>
      <c r="AL191" s="164"/>
      <c r="AM191" s="164"/>
      <c r="AN191" s="164"/>
      <c r="AO191" s="164"/>
      <c r="AP191" s="164"/>
      <c r="AQ191" s="164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</row>
    <row r="192" spans="2:55" s="29" customFormat="1" ht="21" customHeight="1" x14ac:dyDescent="0.3">
      <c r="B192" s="161"/>
      <c r="C192" s="162"/>
      <c r="D192" s="162"/>
      <c r="E192" s="163"/>
      <c r="F192" s="192"/>
      <c r="G192" s="192"/>
      <c r="H192" s="192"/>
      <c r="I192" s="192"/>
      <c r="J192" s="186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8"/>
      <c r="V192" s="168"/>
      <c r="W192" s="169"/>
      <c r="X192" s="169"/>
      <c r="Y192" s="170"/>
      <c r="Z192" s="193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4"/>
      <c r="AK192" s="195"/>
      <c r="AL192" s="164"/>
      <c r="AM192" s="164"/>
      <c r="AN192" s="164"/>
      <c r="AO192" s="164"/>
      <c r="AP192" s="164"/>
      <c r="AQ192" s="164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</row>
    <row r="193" spans="2:55" s="29" customFormat="1" ht="21" customHeight="1" x14ac:dyDescent="0.3">
      <c r="B193" s="161"/>
      <c r="C193" s="162"/>
      <c r="D193" s="162"/>
      <c r="E193" s="163"/>
      <c r="F193" s="192"/>
      <c r="G193" s="192"/>
      <c r="H193" s="192"/>
      <c r="I193" s="192"/>
      <c r="J193" s="186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8"/>
      <c r="V193" s="168"/>
      <c r="W193" s="169"/>
      <c r="X193" s="169"/>
      <c r="Y193" s="170"/>
      <c r="Z193" s="193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4"/>
      <c r="AK193" s="195"/>
      <c r="AL193" s="164"/>
      <c r="AM193" s="164"/>
      <c r="AN193" s="164"/>
      <c r="AO193" s="164"/>
      <c r="AP193" s="164"/>
      <c r="AQ193" s="164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</row>
    <row r="194" spans="2:55" s="29" customFormat="1" ht="21" customHeight="1" x14ac:dyDescent="0.3">
      <c r="B194" s="161"/>
      <c r="C194" s="162"/>
      <c r="D194" s="162"/>
      <c r="E194" s="163"/>
      <c r="F194" s="192"/>
      <c r="G194" s="192"/>
      <c r="H194" s="192"/>
      <c r="I194" s="192"/>
      <c r="J194" s="189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1"/>
      <c r="V194" s="171"/>
      <c r="W194" s="172"/>
      <c r="X194" s="172"/>
      <c r="Y194" s="173"/>
      <c r="Z194" s="199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1"/>
      <c r="AL194" s="164"/>
      <c r="AM194" s="164"/>
      <c r="AN194" s="164"/>
      <c r="AO194" s="164"/>
      <c r="AP194" s="164"/>
      <c r="AQ194" s="164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</row>
    <row r="195" spans="2:55" s="29" customFormat="1" ht="21" customHeight="1" x14ac:dyDescent="0.3">
      <c r="B195" s="161"/>
      <c r="C195" s="162"/>
      <c r="D195" s="162"/>
      <c r="E195" s="163"/>
      <c r="F195" s="192"/>
      <c r="G195" s="192"/>
      <c r="H195" s="192"/>
      <c r="I195" s="192"/>
      <c r="J195" s="183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5"/>
      <c r="V195" s="165"/>
      <c r="W195" s="166"/>
      <c r="X195" s="166"/>
      <c r="Y195" s="167"/>
      <c r="Z195" s="196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8"/>
      <c r="AL195" s="164"/>
      <c r="AM195" s="164"/>
      <c r="AN195" s="164"/>
      <c r="AO195" s="164"/>
      <c r="AP195" s="164"/>
      <c r="AQ195" s="164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</row>
    <row r="196" spans="2:55" s="29" customFormat="1" ht="21" customHeight="1" x14ac:dyDescent="0.3">
      <c r="B196" s="161"/>
      <c r="C196" s="162"/>
      <c r="D196" s="162"/>
      <c r="E196" s="163"/>
      <c r="F196" s="192"/>
      <c r="G196" s="192"/>
      <c r="H196" s="192"/>
      <c r="I196" s="192"/>
      <c r="J196" s="186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8"/>
      <c r="V196" s="168"/>
      <c r="W196" s="169"/>
      <c r="X196" s="169"/>
      <c r="Y196" s="170"/>
      <c r="Z196" s="193"/>
      <c r="AA196" s="194"/>
      <c r="AB196" s="194"/>
      <c r="AC196" s="194"/>
      <c r="AD196" s="194"/>
      <c r="AE196" s="194"/>
      <c r="AF196" s="194"/>
      <c r="AG196" s="194"/>
      <c r="AH196" s="194"/>
      <c r="AI196" s="194"/>
      <c r="AJ196" s="194"/>
      <c r="AK196" s="195"/>
      <c r="AL196" s="164"/>
      <c r="AM196" s="164"/>
      <c r="AN196" s="164"/>
      <c r="AO196" s="164"/>
      <c r="AP196" s="164"/>
      <c r="AQ196" s="164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</row>
    <row r="197" spans="2:55" s="29" customFormat="1" ht="21" customHeight="1" x14ac:dyDescent="0.3">
      <c r="B197" s="161"/>
      <c r="C197" s="162"/>
      <c r="D197" s="162"/>
      <c r="E197" s="163"/>
      <c r="F197" s="192"/>
      <c r="G197" s="192"/>
      <c r="H197" s="192"/>
      <c r="I197" s="192"/>
      <c r="J197" s="186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8"/>
      <c r="V197" s="168"/>
      <c r="W197" s="169"/>
      <c r="X197" s="169"/>
      <c r="Y197" s="170"/>
      <c r="Z197" s="193"/>
      <c r="AA197" s="194"/>
      <c r="AB197" s="194"/>
      <c r="AC197" s="194"/>
      <c r="AD197" s="194"/>
      <c r="AE197" s="194"/>
      <c r="AF197" s="194"/>
      <c r="AG197" s="194"/>
      <c r="AH197" s="194"/>
      <c r="AI197" s="194"/>
      <c r="AJ197" s="194"/>
      <c r="AK197" s="195"/>
      <c r="AL197" s="164"/>
      <c r="AM197" s="164"/>
      <c r="AN197" s="164"/>
      <c r="AO197" s="164"/>
      <c r="AP197" s="164"/>
      <c r="AQ197" s="164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</row>
    <row r="198" spans="2:55" s="29" customFormat="1" ht="21" customHeight="1" x14ac:dyDescent="0.3">
      <c r="B198" s="161"/>
      <c r="C198" s="162"/>
      <c r="D198" s="162"/>
      <c r="E198" s="163"/>
      <c r="F198" s="192"/>
      <c r="G198" s="192"/>
      <c r="H198" s="192"/>
      <c r="I198" s="192"/>
      <c r="J198" s="186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8"/>
      <c r="V198" s="168"/>
      <c r="W198" s="169"/>
      <c r="X198" s="169"/>
      <c r="Y198" s="170"/>
      <c r="Z198" s="193"/>
      <c r="AA198" s="194"/>
      <c r="AB198" s="194"/>
      <c r="AC198" s="194"/>
      <c r="AD198" s="194"/>
      <c r="AE198" s="194"/>
      <c r="AF198" s="194"/>
      <c r="AG198" s="194"/>
      <c r="AH198" s="194"/>
      <c r="AI198" s="194"/>
      <c r="AJ198" s="194"/>
      <c r="AK198" s="195"/>
      <c r="AL198" s="164"/>
      <c r="AM198" s="164"/>
      <c r="AN198" s="164"/>
      <c r="AO198" s="164"/>
      <c r="AP198" s="164"/>
      <c r="AQ198" s="164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</row>
    <row r="199" spans="2:55" s="29" customFormat="1" ht="21" customHeight="1" x14ac:dyDescent="0.3">
      <c r="B199" s="161"/>
      <c r="C199" s="162"/>
      <c r="D199" s="162"/>
      <c r="E199" s="163"/>
      <c r="F199" s="192"/>
      <c r="G199" s="192"/>
      <c r="H199" s="192"/>
      <c r="I199" s="192"/>
      <c r="J199" s="186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8"/>
      <c r="V199" s="168"/>
      <c r="W199" s="169"/>
      <c r="X199" s="169"/>
      <c r="Y199" s="170"/>
      <c r="Z199" s="193"/>
      <c r="AA199" s="194"/>
      <c r="AB199" s="194"/>
      <c r="AC199" s="194"/>
      <c r="AD199" s="194"/>
      <c r="AE199" s="194"/>
      <c r="AF199" s="194"/>
      <c r="AG199" s="194"/>
      <c r="AH199" s="194"/>
      <c r="AI199" s="194"/>
      <c r="AJ199" s="194"/>
      <c r="AK199" s="195"/>
      <c r="AL199" s="164"/>
      <c r="AM199" s="164"/>
      <c r="AN199" s="164"/>
      <c r="AO199" s="164"/>
      <c r="AP199" s="164"/>
      <c r="AQ199" s="164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</row>
    <row r="200" spans="2:55" s="29" customFormat="1" ht="21" customHeight="1" x14ac:dyDescent="0.3">
      <c r="B200" s="161"/>
      <c r="C200" s="162"/>
      <c r="D200" s="162"/>
      <c r="E200" s="163"/>
      <c r="F200" s="192"/>
      <c r="G200" s="192"/>
      <c r="H200" s="192"/>
      <c r="I200" s="192"/>
      <c r="J200" s="186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8"/>
      <c r="V200" s="168"/>
      <c r="W200" s="169"/>
      <c r="X200" s="169"/>
      <c r="Y200" s="170"/>
      <c r="Z200" s="193"/>
      <c r="AA200" s="194"/>
      <c r="AB200" s="194"/>
      <c r="AC200" s="194"/>
      <c r="AD200" s="194"/>
      <c r="AE200" s="194"/>
      <c r="AF200" s="194"/>
      <c r="AG200" s="194"/>
      <c r="AH200" s="194"/>
      <c r="AI200" s="194"/>
      <c r="AJ200" s="194"/>
      <c r="AK200" s="195"/>
      <c r="AL200" s="164"/>
      <c r="AM200" s="164"/>
      <c r="AN200" s="164"/>
      <c r="AO200" s="164"/>
      <c r="AP200" s="164"/>
      <c r="AQ200" s="164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</row>
    <row r="201" spans="2:55" s="29" customFormat="1" ht="21" customHeight="1" x14ac:dyDescent="0.3">
      <c r="B201" s="161"/>
      <c r="C201" s="162"/>
      <c r="D201" s="162"/>
      <c r="E201" s="163"/>
      <c r="F201" s="192"/>
      <c r="G201" s="192"/>
      <c r="H201" s="192"/>
      <c r="I201" s="192"/>
      <c r="J201" s="186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8"/>
      <c r="V201" s="168"/>
      <c r="W201" s="169"/>
      <c r="X201" s="169"/>
      <c r="Y201" s="170"/>
      <c r="Z201" s="193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5"/>
      <c r="AL201" s="164"/>
      <c r="AM201" s="164"/>
      <c r="AN201" s="164"/>
      <c r="AO201" s="164"/>
      <c r="AP201" s="164"/>
      <c r="AQ201" s="164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</row>
    <row r="202" spans="2:55" s="29" customFormat="1" ht="21" customHeight="1" x14ac:dyDescent="0.3">
      <c r="B202" s="161"/>
      <c r="C202" s="162"/>
      <c r="D202" s="162"/>
      <c r="E202" s="163"/>
      <c r="F202" s="192"/>
      <c r="G202" s="192"/>
      <c r="H202" s="192"/>
      <c r="I202" s="192"/>
      <c r="J202" s="189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1"/>
      <c r="V202" s="171"/>
      <c r="W202" s="172"/>
      <c r="X202" s="172"/>
      <c r="Y202" s="173"/>
      <c r="Z202" s="199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1"/>
      <c r="AL202" s="164"/>
      <c r="AM202" s="164"/>
      <c r="AN202" s="164"/>
      <c r="AO202" s="164"/>
      <c r="AP202" s="164"/>
      <c r="AQ202" s="164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</row>
    <row r="203" spans="2:55" s="29" customFormat="1" ht="21" customHeight="1" x14ac:dyDescent="0.3">
      <c r="B203" s="161"/>
      <c r="C203" s="162"/>
      <c r="D203" s="162"/>
      <c r="E203" s="163"/>
      <c r="F203" s="192"/>
      <c r="G203" s="192"/>
      <c r="H203" s="192"/>
      <c r="I203" s="192"/>
      <c r="J203" s="183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5"/>
      <c r="V203" s="165"/>
      <c r="W203" s="166"/>
      <c r="X203" s="166"/>
      <c r="Y203" s="167"/>
      <c r="Z203" s="196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8"/>
      <c r="AL203" s="164"/>
      <c r="AM203" s="164"/>
      <c r="AN203" s="164"/>
      <c r="AO203" s="164"/>
      <c r="AP203" s="164"/>
      <c r="AQ203" s="164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</row>
    <row r="204" spans="2:55" s="29" customFormat="1" ht="21" customHeight="1" x14ac:dyDescent="0.3">
      <c r="B204" s="161"/>
      <c r="C204" s="162"/>
      <c r="D204" s="162"/>
      <c r="E204" s="163"/>
      <c r="F204" s="192"/>
      <c r="G204" s="192"/>
      <c r="H204" s="192"/>
      <c r="I204" s="192"/>
      <c r="J204" s="186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8"/>
      <c r="V204" s="168"/>
      <c r="W204" s="169"/>
      <c r="X204" s="169"/>
      <c r="Y204" s="170"/>
      <c r="Z204" s="193"/>
      <c r="AA204" s="194"/>
      <c r="AB204" s="194"/>
      <c r="AC204" s="194"/>
      <c r="AD204" s="194"/>
      <c r="AE204" s="194"/>
      <c r="AF204" s="194"/>
      <c r="AG204" s="194"/>
      <c r="AH204" s="194"/>
      <c r="AI204" s="194"/>
      <c r="AJ204" s="194"/>
      <c r="AK204" s="195"/>
      <c r="AL204" s="164"/>
      <c r="AM204" s="164"/>
      <c r="AN204" s="164"/>
      <c r="AO204" s="164"/>
      <c r="AP204" s="164"/>
      <c r="AQ204" s="164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</row>
    <row r="205" spans="2:55" s="29" customFormat="1" ht="21" customHeight="1" x14ac:dyDescent="0.3">
      <c r="B205" s="161"/>
      <c r="C205" s="162"/>
      <c r="D205" s="162"/>
      <c r="E205" s="163"/>
      <c r="F205" s="192"/>
      <c r="G205" s="192"/>
      <c r="H205" s="192"/>
      <c r="I205" s="192"/>
      <c r="J205" s="186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8"/>
      <c r="V205" s="168"/>
      <c r="W205" s="169"/>
      <c r="X205" s="169"/>
      <c r="Y205" s="170"/>
      <c r="Z205" s="193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5"/>
      <c r="AL205" s="164"/>
      <c r="AM205" s="164"/>
      <c r="AN205" s="164"/>
      <c r="AO205" s="164"/>
      <c r="AP205" s="164"/>
      <c r="AQ205" s="164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</row>
    <row r="206" spans="2:55" s="29" customFormat="1" ht="21" customHeight="1" x14ac:dyDescent="0.3">
      <c r="B206" s="161"/>
      <c r="C206" s="162"/>
      <c r="D206" s="162"/>
      <c r="E206" s="163"/>
      <c r="F206" s="192"/>
      <c r="G206" s="192"/>
      <c r="H206" s="192"/>
      <c r="I206" s="192"/>
      <c r="J206" s="186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8"/>
      <c r="V206" s="168"/>
      <c r="W206" s="169"/>
      <c r="X206" s="169"/>
      <c r="Y206" s="170"/>
      <c r="Z206" s="193"/>
      <c r="AA206" s="194"/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5"/>
      <c r="AL206" s="164"/>
      <c r="AM206" s="164"/>
      <c r="AN206" s="164"/>
      <c r="AO206" s="164"/>
      <c r="AP206" s="164"/>
      <c r="AQ206" s="164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</row>
    <row r="207" spans="2:55" s="29" customFormat="1" ht="21" customHeight="1" x14ac:dyDescent="0.3">
      <c r="B207" s="161"/>
      <c r="C207" s="162"/>
      <c r="D207" s="162"/>
      <c r="E207" s="163"/>
      <c r="F207" s="192"/>
      <c r="G207" s="192"/>
      <c r="H207" s="192"/>
      <c r="I207" s="192"/>
      <c r="J207" s="186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8"/>
      <c r="V207" s="168"/>
      <c r="W207" s="169"/>
      <c r="X207" s="169"/>
      <c r="Y207" s="170"/>
      <c r="Z207" s="193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5"/>
      <c r="AL207" s="164"/>
      <c r="AM207" s="164"/>
      <c r="AN207" s="164"/>
      <c r="AO207" s="164"/>
      <c r="AP207" s="164"/>
      <c r="AQ207" s="164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</row>
    <row r="208" spans="2:55" s="29" customFormat="1" ht="21" customHeight="1" x14ac:dyDescent="0.3">
      <c r="B208" s="161"/>
      <c r="C208" s="162"/>
      <c r="D208" s="162"/>
      <c r="E208" s="163"/>
      <c r="F208" s="192"/>
      <c r="G208" s="192"/>
      <c r="H208" s="192"/>
      <c r="I208" s="192"/>
      <c r="J208" s="186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8"/>
      <c r="V208" s="168"/>
      <c r="W208" s="169"/>
      <c r="X208" s="169"/>
      <c r="Y208" s="170"/>
      <c r="Z208" s="193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5"/>
      <c r="AL208" s="164"/>
      <c r="AM208" s="164"/>
      <c r="AN208" s="164"/>
      <c r="AO208" s="164"/>
      <c r="AP208" s="164"/>
      <c r="AQ208" s="164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</row>
    <row r="209" spans="2:55" s="29" customFormat="1" ht="21" customHeight="1" x14ac:dyDescent="0.3">
      <c r="B209" s="161"/>
      <c r="C209" s="162"/>
      <c r="D209" s="162"/>
      <c r="E209" s="163"/>
      <c r="F209" s="192"/>
      <c r="G209" s="192"/>
      <c r="H209" s="192"/>
      <c r="I209" s="192"/>
      <c r="J209" s="186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8"/>
      <c r="V209" s="168"/>
      <c r="W209" s="169"/>
      <c r="X209" s="169"/>
      <c r="Y209" s="170"/>
      <c r="Z209" s="193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4"/>
      <c r="AK209" s="195"/>
      <c r="AL209" s="164"/>
      <c r="AM209" s="164"/>
      <c r="AN209" s="164"/>
      <c r="AO209" s="164"/>
      <c r="AP209" s="164"/>
      <c r="AQ209" s="164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</row>
    <row r="210" spans="2:55" s="29" customFormat="1" ht="21" customHeight="1" x14ac:dyDescent="0.3">
      <c r="B210" s="161"/>
      <c r="C210" s="162"/>
      <c r="D210" s="162"/>
      <c r="E210" s="163"/>
      <c r="F210" s="192"/>
      <c r="G210" s="192"/>
      <c r="H210" s="192"/>
      <c r="I210" s="192"/>
      <c r="J210" s="189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1"/>
      <c r="V210" s="171"/>
      <c r="W210" s="172"/>
      <c r="X210" s="172"/>
      <c r="Y210" s="173"/>
      <c r="Z210" s="199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0"/>
      <c r="AK210" s="201"/>
      <c r="AL210" s="164"/>
      <c r="AM210" s="164"/>
      <c r="AN210" s="164"/>
      <c r="AO210" s="164"/>
      <c r="AP210" s="164"/>
      <c r="AQ210" s="164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</row>
    <row r="211" spans="2:55" s="29" customFormat="1" ht="21" customHeight="1" x14ac:dyDescent="0.3">
      <c r="B211" s="161"/>
      <c r="C211" s="162"/>
      <c r="D211" s="162"/>
      <c r="E211" s="163"/>
      <c r="F211" s="192"/>
      <c r="G211" s="192"/>
      <c r="H211" s="192"/>
      <c r="I211" s="192"/>
      <c r="J211" s="183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5"/>
      <c r="V211" s="165"/>
      <c r="W211" s="166"/>
      <c r="X211" s="166"/>
      <c r="Y211" s="167"/>
      <c r="Z211" s="196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8"/>
      <c r="AL211" s="164"/>
      <c r="AM211" s="164"/>
      <c r="AN211" s="164"/>
      <c r="AO211" s="164"/>
      <c r="AP211" s="164"/>
      <c r="AQ211" s="164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</row>
    <row r="212" spans="2:55" s="29" customFormat="1" ht="21" customHeight="1" x14ac:dyDescent="0.3">
      <c r="B212" s="161"/>
      <c r="C212" s="162"/>
      <c r="D212" s="162"/>
      <c r="E212" s="163"/>
      <c r="F212" s="192"/>
      <c r="G212" s="192"/>
      <c r="H212" s="192"/>
      <c r="I212" s="192"/>
      <c r="J212" s="186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8"/>
      <c r="V212" s="168"/>
      <c r="W212" s="169"/>
      <c r="X212" s="169"/>
      <c r="Y212" s="170"/>
      <c r="Z212" s="193"/>
      <c r="AA212" s="194"/>
      <c r="AB212" s="194"/>
      <c r="AC212" s="194"/>
      <c r="AD212" s="194"/>
      <c r="AE212" s="194"/>
      <c r="AF212" s="194"/>
      <c r="AG212" s="194"/>
      <c r="AH212" s="194"/>
      <c r="AI212" s="194"/>
      <c r="AJ212" s="194"/>
      <c r="AK212" s="195"/>
      <c r="AL212" s="164"/>
      <c r="AM212" s="164"/>
      <c r="AN212" s="164"/>
      <c r="AO212" s="164"/>
      <c r="AP212" s="164"/>
      <c r="AQ212" s="164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</row>
    <row r="213" spans="2:55" s="29" customFormat="1" ht="21" customHeight="1" x14ac:dyDescent="0.3">
      <c r="B213" s="161"/>
      <c r="C213" s="162"/>
      <c r="D213" s="162"/>
      <c r="E213" s="163"/>
      <c r="F213" s="192"/>
      <c r="G213" s="192"/>
      <c r="H213" s="192"/>
      <c r="I213" s="192"/>
      <c r="J213" s="186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8"/>
      <c r="V213" s="168"/>
      <c r="W213" s="169"/>
      <c r="X213" s="169"/>
      <c r="Y213" s="170"/>
      <c r="Z213" s="193"/>
      <c r="AA213" s="194"/>
      <c r="AB213" s="194"/>
      <c r="AC213" s="194"/>
      <c r="AD213" s="194"/>
      <c r="AE213" s="194"/>
      <c r="AF213" s="194"/>
      <c r="AG213" s="194"/>
      <c r="AH213" s="194"/>
      <c r="AI213" s="194"/>
      <c r="AJ213" s="194"/>
      <c r="AK213" s="195"/>
      <c r="AL213" s="164"/>
      <c r="AM213" s="164"/>
      <c r="AN213" s="164"/>
      <c r="AO213" s="164"/>
      <c r="AP213" s="164"/>
      <c r="AQ213" s="164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</row>
    <row r="214" spans="2:55" s="29" customFormat="1" ht="21" customHeight="1" x14ac:dyDescent="0.3">
      <c r="B214" s="161"/>
      <c r="C214" s="162"/>
      <c r="D214" s="162"/>
      <c r="E214" s="163"/>
      <c r="F214" s="192"/>
      <c r="G214" s="192"/>
      <c r="H214" s="192"/>
      <c r="I214" s="192"/>
      <c r="J214" s="186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8"/>
      <c r="V214" s="168"/>
      <c r="W214" s="169"/>
      <c r="X214" s="169"/>
      <c r="Y214" s="170"/>
      <c r="Z214" s="193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4"/>
      <c r="AK214" s="195"/>
      <c r="AL214" s="164"/>
      <c r="AM214" s="164"/>
      <c r="AN214" s="164"/>
      <c r="AO214" s="164"/>
      <c r="AP214" s="164"/>
      <c r="AQ214" s="164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</row>
    <row r="215" spans="2:55" s="29" customFormat="1" ht="21" customHeight="1" x14ac:dyDescent="0.3">
      <c r="B215" s="161"/>
      <c r="C215" s="162"/>
      <c r="D215" s="162"/>
      <c r="E215" s="163"/>
      <c r="F215" s="192"/>
      <c r="G215" s="192"/>
      <c r="H215" s="192"/>
      <c r="I215" s="192"/>
      <c r="J215" s="186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8"/>
      <c r="V215" s="168"/>
      <c r="W215" s="169"/>
      <c r="X215" s="169"/>
      <c r="Y215" s="170"/>
      <c r="Z215" s="193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4"/>
      <c r="AK215" s="195"/>
      <c r="AL215" s="164"/>
      <c r="AM215" s="164"/>
      <c r="AN215" s="164"/>
      <c r="AO215" s="164"/>
      <c r="AP215" s="164"/>
      <c r="AQ215" s="164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</row>
    <row r="216" spans="2:55" s="29" customFormat="1" ht="21" customHeight="1" x14ac:dyDescent="0.3">
      <c r="B216" s="161"/>
      <c r="C216" s="162"/>
      <c r="D216" s="162"/>
      <c r="E216" s="163"/>
      <c r="F216" s="192"/>
      <c r="G216" s="192"/>
      <c r="H216" s="192"/>
      <c r="I216" s="192"/>
      <c r="J216" s="186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8"/>
      <c r="V216" s="168"/>
      <c r="W216" s="169"/>
      <c r="X216" s="169"/>
      <c r="Y216" s="170"/>
      <c r="Z216" s="193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5"/>
      <c r="AL216" s="164"/>
      <c r="AM216" s="164"/>
      <c r="AN216" s="164"/>
      <c r="AO216" s="164"/>
      <c r="AP216" s="164"/>
      <c r="AQ216" s="164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</row>
    <row r="217" spans="2:55" s="29" customFormat="1" ht="21" customHeight="1" x14ac:dyDescent="0.3">
      <c r="B217" s="161"/>
      <c r="C217" s="162"/>
      <c r="D217" s="162"/>
      <c r="E217" s="163"/>
      <c r="F217" s="192"/>
      <c r="G217" s="192"/>
      <c r="H217" s="192"/>
      <c r="I217" s="192"/>
      <c r="J217" s="186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8"/>
      <c r="V217" s="168"/>
      <c r="W217" s="169"/>
      <c r="X217" s="169"/>
      <c r="Y217" s="170"/>
      <c r="Z217" s="193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4"/>
      <c r="AK217" s="195"/>
      <c r="AL217" s="164"/>
      <c r="AM217" s="164"/>
      <c r="AN217" s="164"/>
      <c r="AO217" s="164"/>
      <c r="AP217" s="164"/>
      <c r="AQ217" s="164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</row>
    <row r="218" spans="2:55" s="29" customFormat="1" ht="21" customHeight="1" x14ac:dyDescent="0.3">
      <c r="B218" s="161"/>
      <c r="C218" s="162"/>
      <c r="D218" s="162"/>
      <c r="E218" s="163"/>
      <c r="F218" s="192"/>
      <c r="G218" s="192"/>
      <c r="H218" s="192"/>
      <c r="I218" s="192"/>
      <c r="J218" s="189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1"/>
      <c r="V218" s="171"/>
      <c r="W218" s="172"/>
      <c r="X218" s="172"/>
      <c r="Y218" s="173"/>
      <c r="Z218" s="199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1"/>
      <c r="AL218" s="164"/>
      <c r="AM218" s="164"/>
      <c r="AN218" s="164"/>
      <c r="AO218" s="164"/>
      <c r="AP218" s="164"/>
      <c r="AQ218" s="164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</row>
    <row r="219" spans="2:55" s="29" customFormat="1" ht="21" customHeight="1" x14ac:dyDescent="0.3">
      <c r="B219" s="161"/>
      <c r="C219" s="162"/>
      <c r="D219" s="162"/>
      <c r="E219" s="163"/>
      <c r="F219" s="192"/>
      <c r="G219" s="192"/>
      <c r="H219" s="192"/>
      <c r="I219" s="192"/>
      <c r="J219" s="183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5"/>
      <c r="V219" s="165"/>
      <c r="W219" s="166"/>
      <c r="X219" s="166"/>
      <c r="Y219" s="167"/>
      <c r="Z219" s="196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8"/>
      <c r="AL219" s="164"/>
      <c r="AM219" s="164"/>
      <c r="AN219" s="164"/>
      <c r="AO219" s="164"/>
      <c r="AP219" s="164"/>
      <c r="AQ219" s="164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</row>
    <row r="220" spans="2:55" s="29" customFormat="1" ht="21" customHeight="1" x14ac:dyDescent="0.3">
      <c r="B220" s="161"/>
      <c r="C220" s="162"/>
      <c r="D220" s="162"/>
      <c r="E220" s="163"/>
      <c r="F220" s="192"/>
      <c r="G220" s="192"/>
      <c r="H220" s="192"/>
      <c r="I220" s="192"/>
      <c r="J220" s="186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8"/>
      <c r="V220" s="168"/>
      <c r="W220" s="169"/>
      <c r="X220" s="169"/>
      <c r="Y220" s="170"/>
      <c r="Z220" s="193"/>
      <c r="AA220" s="194"/>
      <c r="AB220" s="194"/>
      <c r="AC220" s="194"/>
      <c r="AD220" s="194"/>
      <c r="AE220" s="194"/>
      <c r="AF220" s="194"/>
      <c r="AG220" s="194"/>
      <c r="AH220" s="194"/>
      <c r="AI220" s="194"/>
      <c r="AJ220" s="194"/>
      <c r="AK220" s="195"/>
      <c r="AL220" s="164"/>
      <c r="AM220" s="164"/>
      <c r="AN220" s="164"/>
      <c r="AO220" s="164"/>
      <c r="AP220" s="164"/>
      <c r="AQ220" s="164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</row>
    <row r="221" spans="2:55" s="29" customFormat="1" ht="21" customHeight="1" x14ac:dyDescent="0.3">
      <c r="B221" s="161"/>
      <c r="C221" s="162"/>
      <c r="D221" s="162"/>
      <c r="E221" s="163"/>
      <c r="F221" s="192"/>
      <c r="G221" s="192"/>
      <c r="H221" s="192"/>
      <c r="I221" s="192"/>
      <c r="J221" s="186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8"/>
      <c r="V221" s="168"/>
      <c r="W221" s="169"/>
      <c r="X221" s="169"/>
      <c r="Y221" s="170"/>
      <c r="Z221" s="193"/>
      <c r="AA221" s="194"/>
      <c r="AB221" s="194"/>
      <c r="AC221" s="194"/>
      <c r="AD221" s="194"/>
      <c r="AE221" s="194"/>
      <c r="AF221" s="194"/>
      <c r="AG221" s="194"/>
      <c r="AH221" s="194"/>
      <c r="AI221" s="194"/>
      <c r="AJ221" s="194"/>
      <c r="AK221" s="195"/>
      <c r="AL221" s="164"/>
      <c r="AM221" s="164"/>
      <c r="AN221" s="164"/>
      <c r="AO221" s="164"/>
      <c r="AP221" s="164"/>
      <c r="AQ221" s="164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</row>
    <row r="222" spans="2:55" s="29" customFormat="1" ht="21" customHeight="1" x14ac:dyDescent="0.3">
      <c r="B222" s="161"/>
      <c r="C222" s="162"/>
      <c r="D222" s="162"/>
      <c r="E222" s="163"/>
      <c r="F222" s="192"/>
      <c r="G222" s="192"/>
      <c r="H222" s="192"/>
      <c r="I222" s="192"/>
      <c r="J222" s="186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8"/>
      <c r="V222" s="168"/>
      <c r="W222" s="169"/>
      <c r="X222" s="169"/>
      <c r="Y222" s="170"/>
      <c r="Z222" s="193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5"/>
      <c r="AL222" s="164"/>
      <c r="AM222" s="164"/>
      <c r="AN222" s="164"/>
      <c r="AO222" s="164"/>
      <c r="AP222" s="164"/>
      <c r="AQ222" s="164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</row>
    <row r="223" spans="2:55" s="29" customFormat="1" ht="21" customHeight="1" x14ac:dyDescent="0.3">
      <c r="B223" s="161"/>
      <c r="C223" s="162"/>
      <c r="D223" s="162"/>
      <c r="E223" s="163"/>
      <c r="F223" s="192"/>
      <c r="G223" s="192"/>
      <c r="H223" s="192"/>
      <c r="I223" s="192"/>
      <c r="J223" s="186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8"/>
      <c r="V223" s="168"/>
      <c r="W223" s="169"/>
      <c r="X223" s="169"/>
      <c r="Y223" s="170"/>
      <c r="Z223" s="193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5"/>
      <c r="AL223" s="164"/>
      <c r="AM223" s="164"/>
      <c r="AN223" s="164"/>
      <c r="AO223" s="164"/>
      <c r="AP223" s="164"/>
      <c r="AQ223" s="164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</row>
    <row r="224" spans="2:55" s="29" customFormat="1" ht="21" customHeight="1" x14ac:dyDescent="0.3">
      <c r="B224" s="161"/>
      <c r="C224" s="162"/>
      <c r="D224" s="162"/>
      <c r="E224" s="163"/>
      <c r="F224" s="192"/>
      <c r="G224" s="192"/>
      <c r="H224" s="192"/>
      <c r="I224" s="192"/>
      <c r="J224" s="186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8"/>
      <c r="V224" s="168"/>
      <c r="W224" s="169"/>
      <c r="X224" s="169"/>
      <c r="Y224" s="170"/>
      <c r="Z224" s="193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5"/>
      <c r="AL224" s="164"/>
      <c r="AM224" s="164"/>
      <c r="AN224" s="164"/>
      <c r="AO224" s="164"/>
      <c r="AP224" s="164"/>
      <c r="AQ224" s="164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</row>
    <row r="225" spans="2:55" s="29" customFormat="1" ht="21" customHeight="1" x14ac:dyDescent="0.3">
      <c r="B225" s="161"/>
      <c r="C225" s="162"/>
      <c r="D225" s="162"/>
      <c r="E225" s="163"/>
      <c r="F225" s="192"/>
      <c r="G225" s="192"/>
      <c r="H225" s="192"/>
      <c r="I225" s="192"/>
      <c r="J225" s="186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8"/>
      <c r="V225" s="168"/>
      <c r="W225" s="169"/>
      <c r="X225" s="169"/>
      <c r="Y225" s="170"/>
      <c r="Z225" s="193"/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5"/>
      <c r="AL225" s="164"/>
      <c r="AM225" s="164"/>
      <c r="AN225" s="164"/>
      <c r="AO225" s="164"/>
      <c r="AP225" s="164"/>
      <c r="AQ225" s="164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</row>
    <row r="226" spans="2:55" s="29" customFormat="1" ht="21" customHeight="1" x14ac:dyDescent="0.3">
      <c r="B226" s="161"/>
      <c r="C226" s="162"/>
      <c r="D226" s="162"/>
      <c r="E226" s="163"/>
      <c r="F226" s="192"/>
      <c r="G226" s="192"/>
      <c r="H226" s="192"/>
      <c r="I226" s="192"/>
      <c r="J226" s="189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1"/>
      <c r="V226" s="171"/>
      <c r="W226" s="172"/>
      <c r="X226" s="172"/>
      <c r="Y226" s="173"/>
      <c r="Z226" s="199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1"/>
      <c r="AL226" s="164"/>
      <c r="AM226" s="164"/>
      <c r="AN226" s="164"/>
      <c r="AO226" s="164"/>
      <c r="AP226" s="164"/>
      <c r="AQ226" s="164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</row>
    <row r="227" spans="2:55" s="29" customFormat="1" ht="21" customHeight="1" x14ac:dyDescent="0.3">
      <c r="B227" s="161"/>
      <c r="C227" s="162"/>
      <c r="D227" s="162"/>
      <c r="E227" s="163"/>
      <c r="F227" s="192"/>
      <c r="G227" s="192"/>
      <c r="H227" s="192"/>
      <c r="I227" s="192"/>
      <c r="J227" s="174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6"/>
      <c r="V227" s="165"/>
      <c r="W227" s="166"/>
      <c r="X227" s="166"/>
      <c r="Y227" s="167"/>
      <c r="Z227" s="196"/>
      <c r="AA227" s="197"/>
      <c r="AB227" s="197"/>
      <c r="AC227" s="197"/>
      <c r="AD227" s="197"/>
      <c r="AE227" s="197"/>
      <c r="AF227" s="197"/>
      <c r="AG227" s="197"/>
      <c r="AH227" s="197"/>
      <c r="AI227" s="197"/>
      <c r="AJ227" s="197"/>
      <c r="AK227" s="198"/>
      <c r="AL227" s="164"/>
      <c r="AM227" s="164"/>
      <c r="AN227" s="164"/>
      <c r="AO227" s="164"/>
      <c r="AP227" s="164"/>
      <c r="AQ227" s="164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</row>
    <row r="228" spans="2:55" s="29" customFormat="1" ht="21" customHeight="1" x14ac:dyDescent="0.3">
      <c r="B228" s="161"/>
      <c r="C228" s="162"/>
      <c r="D228" s="162"/>
      <c r="E228" s="163"/>
      <c r="F228" s="192"/>
      <c r="G228" s="192"/>
      <c r="H228" s="192"/>
      <c r="I228" s="192"/>
      <c r="J228" s="177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9"/>
      <c r="V228" s="168"/>
      <c r="W228" s="169"/>
      <c r="X228" s="169"/>
      <c r="Y228" s="170"/>
      <c r="Z228" s="193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5"/>
      <c r="AL228" s="164"/>
      <c r="AM228" s="164"/>
      <c r="AN228" s="164"/>
      <c r="AO228" s="164"/>
      <c r="AP228" s="164"/>
      <c r="AQ228" s="164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</row>
    <row r="229" spans="2:55" s="29" customFormat="1" ht="21" customHeight="1" x14ac:dyDescent="0.3">
      <c r="B229" s="161"/>
      <c r="C229" s="162"/>
      <c r="D229" s="162"/>
      <c r="E229" s="163"/>
      <c r="F229" s="192"/>
      <c r="G229" s="192"/>
      <c r="H229" s="192"/>
      <c r="I229" s="192"/>
      <c r="J229" s="177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9"/>
      <c r="V229" s="168"/>
      <c r="W229" s="169"/>
      <c r="X229" s="169"/>
      <c r="Y229" s="170"/>
      <c r="Z229" s="193"/>
      <c r="AA229" s="194"/>
      <c r="AB229" s="194"/>
      <c r="AC229" s="194"/>
      <c r="AD229" s="194"/>
      <c r="AE229" s="194"/>
      <c r="AF229" s="194"/>
      <c r="AG229" s="194"/>
      <c r="AH229" s="194"/>
      <c r="AI229" s="194"/>
      <c r="AJ229" s="194"/>
      <c r="AK229" s="195"/>
      <c r="AL229" s="164"/>
      <c r="AM229" s="164"/>
      <c r="AN229" s="164"/>
      <c r="AO229" s="164"/>
      <c r="AP229" s="164"/>
      <c r="AQ229" s="164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</row>
    <row r="230" spans="2:55" s="29" customFormat="1" ht="21" customHeight="1" x14ac:dyDescent="0.3">
      <c r="B230" s="161"/>
      <c r="C230" s="162"/>
      <c r="D230" s="162"/>
      <c r="E230" s="163"/>
      <c r="F230" s="192"/>
      <c r="G230" s="192"/>
      <c r="H230" s="192"/>
      <c r="I230" s="192"/>
      <c r="J230" s="177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9"/>
      <c r="V230" s="168"/>
      <c r="W230" s="169"/>
      <c r="X230" s="169"/>
      <c r="Y230" s="170"/>
      <c r="Z230" s="193"/>
      <c r="AA230" s="194"/>
      <c r="AB230" s="194"/>
      <c r="AC230" s="194"/>
      <c r="AD230" s="194"/>
      <c r="AE230" s="194"/>
      <c r="AF230" s="194"/>
      <c r="AG230" s="194"/>
      <c r="AH230" s="194"/>
      <c r="AI230" s="194"/>
      <c r="AJ230" s="194"/>
      <c r="AK230" s="195"/>
      <c r="AL230" s="164"/>
      <c r="AM230" s="164"/>
      <c r="AN230" s="164"/>
      <c r="AO230" s="164"/>
      <c r="AP230" s="164"/>
      <c r="AQ230" s="164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</row>
    <row r="231" spans="2:55" s="29" customFormat="1" ht="21" customHeight="1" x14ac:dyDescent="0.3">
      <c r="B231" s="161"/>
      <c r="C231" s="162"/>
      <c r="D231" s="162"/>
      <c r="E231" s="163"/>
      <c r="F231" s="192"/>
      <c r="G231" s="192"/>
      <c r="H231" s="192"/>
      <c r="I231" s="192"/>
      <c r="J231" s="177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9"/>
      <c r="V231" s="168"/>
      <c r="W231" s="169"/>
      <c r="X231" s="169"/>
      <c r="Y231" s="170"/>
      <c r="Z231" s="193"/>
      <c r="AA231" s="194"/>
      <c r="AB231" s="194"/>
      <c r="AC231" s="194"/>
      <c r="AD231" s="194"/>
      <c r="AE231" s="194"/>
      <c r="AF231" s="194"/>
      <c r="AG231" s="194"/>
      <c r="AH231" s="194"/>
      <c r="AI231" s="194"/>
      <c r="AJ231" s="194"/>
      <c r="AK231" s="195"/>
      <c r="AL231" s="164"/>
      <c r="AM231" s="164"/>
      <c r="AN231" s="164"/>
      <c r="AO231" s="164"/>
      <c r="AP231" s="164"/>
      <c r="AQ231" s="164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</row>
    <row r="232" spans="2:55" s="29" customFormat="1" ht="21" customHeight="1" x14ac:dyDescent="0.3">
      <c r="B232" s="161"/>
      <c r="C232" s="162"/>
      <c r="D232" s="162"/>
      <c r="E232" s="163"/>
      <c r="F232" s="192"/>
      <c r="G232" s="192"/>
      <c r="H232" s="192"/>
      <c r="I232" s="192"/>
      <c r="J232" s="177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9"/>
      <c r="V232" s="168"/>
      <c r="W232" s="169"/>
      <c r="X232" s="169"/>
      <c r="Y232" s="170"/>
      <c r="Z232" s="193"/>
      <c r="AA232" s="194"/>
      <c r="AB232" s="194"/>
      <c r="AC232" s="194"/>
      <c r="AD232" s="194"/>
      <c r="AE232" s="194"/>
      <c r="AF232" s="194"/>
      <c r="AG232" s="194"/>
      <c r="AH232" s="194"/>
      <c r="AI232" s="194"/>
      <c r="AJ232" s="194"/>
      <c r="AK232" s="195"/>
      <c r="AL232" s="164"/>
      <c r="AM232" s="164"/>
      <c r="AN232" s="164"/>
      <c r="AO232" s="164"/>
      <c r="AP232" s="164"/>
      <c r="AQ232" s="164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</row>
    <row r="233" spans="2:55" s="29" customFormat="1" ht="21" customHeight="1" x14ac:dyDescent="0.3">
      <c r="B233" s="161"/>
      <c r="C233" s="162"/>
      <c r="D233" s="162"/>
      <c r="E233" s="163"/>
      <c r="F233" s="192"/>
      <c r="G233" s="192"/>
      <c r="H233" s="192"/>
      <c r="I233" s="192"/>
      <c r="J233" s="177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9"/>
      <c r="V233" s="168"/>
      <c r="W233" s="169"/>
      <c r="X233" s="169"/>
      <c r="Y233" s="170"/>
      <c r="Z233" s="193"/>
      <c r="AA233" s="194"/>
      <c r="AB233" s="194"/>
      <c r="AC233" s="194"/>
      <c r="AD233" s="194"/>
      <c r="AE233" s="194"/>
      <c r="AF233" s="194"/>
      <c r="AG233" s="194"/>
      <c r="AH233" s="194"/>
      <c r="AI233" s="194"/>
      <c r="AJ233" s="194"/>
      <c r="AK233" s="195"/>
      <c r="AL233" s="164"/>
      <c r="AM233" s="164"/>
      <c r="AN233" s="164"/>
      <c r="AO233" s="164"/>
      <c r="AP233" s="164"/>
      <c r="AQ233" s="164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</row>
    <row r="234" spans="2:55" s="29" customFormat="1" ht="21" customHeight="1" x14ac:dyDescent="0.3">
      <c r="B234" s="161"/>
      <c r="C234" s="162"/>
      <c r="D234" s="162"/>
      <c r="E234" s="163"/>
      <c r="F234" s="192"/>
      <c r="G234" s="192"/>
      <c r="H234" s="192"/>
      <c r="I234" s="192"/>
      <c r="J234" s="180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2"/>
      <c r="V234" s="171"/>
      <c r="W234" s="172"/>
      <c r="X234" s="172"/>
      <c r="Y234" s="173"/>
      <c r="Z234" s="199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1"/>
      <c r="AL234" s="164"/>
      <c r="AM234" s="164"/>
      <c r="AN234" s="164"/>
      <c r="AO234" s="164"/>
      <c r="AP234" s="164"/>
      <c r="AQ234" s="164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</row>
    <row r="235" spans="2:55" s="29" customFormat="1" ht="21" customHeight="1" x14ac:dyDescent="0.3">
      <c r="B235" s="161"/>
      <c r="C235" s="162"/>
      <c r="D235" s="162"/>
      <c r="E235" s="163"/>
      <c r="F235" s="192"/>
      <c r="G235" s="192"/>
      <c r="H235" s="192"/>
      <c r="I235" s="192"/>
      <c r="J235" s="183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5"/>
      <c r="V235" s="165"/>
      <c r="W235" s="166"/>
      <c r="X235" s="166"/>
      <c r="Y235" s="167"/>
      <c r="Z235" s="196"/>
      <c r="AA235" s="197"/>
      <c r="AB235" s="197"/>
      <c r="AC235" s="197"/>
      <c r="AD235" s="197"/>
      <c r="AE235" s="197"/>
      <c r="AF235" s="197"/>
      <c r="AG235" s="197"/>
      <c r="AH235" s="197"/>
      <c r="AI235" s="197"/>
      <c r="AJ235" s="197"/>
      <c r="AK235" s="198"/>
      <c r="AL235" s="164"/>
      <c r="AM235" s="164"/>
      <c r="AN235" s="164"/>
      <c r="AO235" s="164"/>
      <c r="AP235" s="164"/>
      <c r="AQ235" s="164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</row>
    <row r="236" spans="2:55" s="29" customFormat="1" ht="21" customHeight="1" x14ac:dyDescent="0.3">
      <c r="B236" s="161"/>
      <c r="C236" s="162"/>
      <c r="D236" s="162"/>
      <c r="E236" s="163"/>
      <c r="F236" s="192"/>
      <c r="G236" s="192"/>
      <c r="H236" s="192"/>
      <c r="I236" s="192"/>
      <c r="J236" s="186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8"/>
      <c r="V236" s="168"/>
      <c r="W236" s="169"/>
      <c r="X236" s="169"/>
      <c r="Y236" s="170"/>
      <c r="Z236" s="193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94"/>
      <c r="AK236" s="195"/>
      <c r="AL236" s="164"/>
      <c r="AM236" s="164"/>
      <c r="AN236" s="164"/>
      <c r="AO236" s="164"/>
      <c r="AP236" s="164"/>
      <c r="AQ236" s="164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</row>
    <row r="237" spans="2:55" s="29" customFormat="1" ht="21" customHeight="1" x14ac:dyDescent="0.3">
      <c r="B237" s="161"/>
      <c r="C237" s="162"/>
      <c r="D237" s="162"/>
      <c r="E237" s="163"/>
      <c r="F237" s="192"/>
      <c r="G237" s="192"/>
      <c r="H237" s="192"/>
      <c r="I237" s="192"/>
      <c r="J237" s="186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8"/>
      <c r="V237" s="168"/>
      <c r="W237" s="169"/>
      <c r="X237" s="169"/>
      <c r="Y237" s="170"/>
      <c r="Z237" s="193"/>
      <c r="AA237" s="194"/>
      <c r="AB237" s="194"/>
      <c r="AC237" s="194"/>
      <c r="AD237" s="194"/>
      <c r="AE237" s="194"/>
      <c r="AF237" s="194"/>
      <c r="AG237" s="194"/>
      <c r="AH237" s="194"/>
      <c r="AI237" s="194"/>
      <c r="AJ237" s="194"/>
      <c r="AK237" s="195"/>
      <c r="AL237" s="164"/>
      <c r="AM237" s="164"/>
      <c r="AN237" s="164"/>
      <c r="AO237" s="164"/>
      <c r="AP237" s="164"/>
      <c r="AQ237" s="164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</row>
    <row r="238" spans="2:55" s="29" customFormat="1" ht="21" customHeight="1" x14ac:dyDescent="0.3">
      <c r="B238" s="161"/>
      <c r="C238" s="162"/>
      <c r="D238" s="162"/>
      <c r="E238" s="163"/>
      <c r="F238" s="192"/>
      <c r="G238" s="192"/>
      <c r="H238" s="192"/>
      <c r="I238" s="192"/>
      <c r="J238" s="186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8"/>
      <c r="V238" s="168"/>
      <c r="W238" s="169"/>
      <c r="X238" s="169"/>
      <c r="Y238" s="170"/>
      <c r="Z238" s="193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5"/>
      <c r="AL238" s="164"/>
      <c r="AM238" s="164"/>
      <c r="AN238" s="164"/>
      <c r="AO238" s="164"/>
      <c r="AP238" s="164"/>
      <c r="AQ238" s="164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</row>
    <row r="239" spans="2:55" s="29" customFormat="1" ht="21" customHeight="1" x14ac:dyDescent="0.3">
      <c r="B239" s="161"/>
      <c r="C239" s="162"/>
      <c r="D239" s="162"/>
      <c r="E239" s="163"/>
      <c r="F239" s="192"/>
      <c r="G239" s="192"/>
      <c r="H239" s="192"/>
      <c r="I239" s="192"/>
      <c r="J239" s="186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8"/>
      <c r="V239" s="168"/>
      <c r="W239" s="169"/>
      <c r="X239" s="169"/>
      <c r="Y239" s="170"/>
      <c r="Z239" s="193"/>
      <c r="AA239" s="194"/>
      <c r="AB239" s="194"/>
      <c r="AC239" s="194"/>
      <c r="AD239" s="194"/>
      <c r="AE239" s="194"/>
      <c r="AF239" s="194"/>
      <c r="AG239" s="194"/>
      <c r="AH239" s="194"/>
      <c r="AI239" s="194"/>
      <c r="AJ239" s="194"/>
      <c r="AK239" s="195"/>
      <c r="AL239" s="164"/>
      <c r="AM239" s="164"/>
      <c r="AN239" s="164"/>
      <c r="AO239" s="164"/>
      <c r="AP239" s="164"/>
      <c r="AQ239" s="164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</row>
    <row r="240" spans="2:55" s="29" customFormat="1" ht="21" customHeight="1" x14ac:dyDescent="0.3">
      <c r="B240" s="161"/>
      <c r="C240" s="162"/>
      <c r="D240" s="162"/>
      <c r="E240" s="163"/>
      <c r="F240" s="192"/>
      <c r="G240" s="192"/>
      <c r="H240" s="192"/>
      <c r="I240" s="192"/>
      <c r="J240" s="186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8"/>
      <c r="V240" s="168"/>
      <c r="W240" s="169"/>
      <c r="X240" s="169"/>
      <c r="Y240" s="170"/>
      <c r="Z240" s="193"/>
      <c r="AA240" s="194"/>
      <c r="AB240" s="194"/>
      <c r="AC240" s="194"/>
      <c r="AD240" s="194"/>
      <c r="AE240" s="194"/>
      <c r="AF240" s="194"/>
      <c r="AG240" s="194"/>
      <c r="AH240" s="194"/>
      <c r="AI240" s="194"/>
      <c r="AJ240" s="194"/>
      <c r="AK240" s="195"/>
      <c r="AL240" s="164"/>
      <c r="AM240" s="164"/>
      <c r="AN240" s="164"/>
      <c r="AO240" s="164"/>
      <c r="AP240" s="164"/>
      <c r="AQ240" s="164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</row>
    <row r="241" spans="2:55" s="29" customFormat="1" ht="21" customHeight="1" x14ac:dyDescent="0.3">
      <c r="B241" s="161"/>
      <c r="C241" s="162"/>
      <c r="D241" s="162"/>
      <c r="E241" s="163"/>
      <c r="F241" s="192"/>
      <c r="G241" s="192"/>
      <c r="H241" s="192"/>
      <c r="I241" s="192"/>
      <c r="J241" s="186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8"/>
      <c r="V241" s="168"/>
      <c r="W241" s="169"/>
      <c r="X241" s="169"/>
      <c r="Y241" s="170"/>
      <c r="Z241" s="193"/>
      <c r="AA241" s="194"/>
      <c r="AB241" s="194"/>
      <c r="AC241" s="194"/>
      <c r="AD241" s="194"/>
      <c r="AE241" s="194"/>
      <c r="AF241" s="194"/>
      <c r="AG241" s="194"/>
      <c r="AH241" s="194"/>
      <c r="AI241" s="194"/>
      <c r="AJ241" s="194"/>
      <c r="AK241" s="195"/>
      <c r="AL241" s="164"/>
      <c r="AM241" s="164"/>
      <c r="AN241" s="164"/>
      <c r="AO241" s="164"/>
      <c r="AP241" s="164"/>
      <c r="AQ241" s="164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</row>
    <row r="242" spans="2:55" s="29" customFormat="1" ht="21" customHeight="1" x14ac:dyDescent="0.3">
      <c r="B242" s="161"/>
      <c r="C242" s="162"/>
      <c r="D242" s="162"/>
      <c r="E242" s="163"/>
      <c r="F242" s="192"/>
      <c r="G242" s="192"/>
      <c r="H242" s="192"/>
      <c r="I242" s="192"/>
      <c r="J242" s="189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1"/>
      <c r="V242" s="171"/>
      <c r="W242" s="172"/>
      <c r="X242" s="172"/>
      <c r="Y242" s="173"/>
      <c r="Z242" s="199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1"/>
      <c r="AL242" s="164"/>
      <c r="AM242" s="164"/>
      <c r="AN242" s="164"/>
      <c r="AO242" s="164"/>
      <c r="AP242" s="164"/>
      <c r="AQ242" s="164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</row>
    <row r="243" spans="2:55" s="29" customFormat="1" ht="21" customHeight="1" x14ac:dyDescent="0.3">
      <c r="B243" s="161"/>
      <c r="C243" s="162"/>
      <c r="D243" s="162"/>
      <c r="E243" s="163"/>
      <c r="F243" s="192"/>
      <c r="G243" s="192"/>
      <c r="H243" s="192"/>
      <c r="I243" s="192"/>
      <c r="J243" s="183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5"/>
      <c r="V243" s="165"/>
      <c r="W243" s="166"/>
      <c r="X243" s="166"/>
      <c r="Y243" s="167"/>
      <c r="Z243" s="196"/>
      <c r="AA243" s="197"/>
      <c r="AB243" s="197"/>
      <c r="AC243" s="197"/>
      <c r="AD243" s="197"/>
      <c r="AE243" s="197"/>
      <c r="AF243" s="197"/>
      <c r="AG243" s="197"/>
      <c r="AH243" s="197"/>
      <c r="AI243" s="197"/>
      <c r="AJ243" s="197"/>
      <c r="AK243" s="198"/>
      <c r="AL243" s="164"/>
      <c r="AM243" s="164"/>
      <c r="AN243" s="164"/>
      <c r="AO243" s="164"/>
      <c r="AP243" s="164"/>
      <c r="AQ243" s="164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</row>
    <row r="244" spans="2:55" s="29" customFormat="1" ht="21" customHeight="1" x14ac:dyDescent="0.3">
      <c r="B244" s="161"/>
      <c r="C244" s="162"/>
      <c r="D244" s="162"/>
      <c r="E244" s="163"/>
      <c r="F244" s="192"/>
      <c r="G244" s="192"/>
      <c r="H244" s="192"/>
      <c r="I244" s="192"/>
      <c r="J244" s="186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8"/>
      <c r="V244" s="168"/>
      <c r="W244" s="169"/>
      <c r="X244" s="169"/>
      <c r="Y244" s="170"/>
      <c r="Z244" s="193"/>
      <c r="AA244" s="194"/>
      <c r="AB244" s="194"/>
      <c r="AC244" s="194"/>
      <c r="AD244" s="194"/>
      <c r="AE244" s="194"/>
      <c r="AF244" s="194"/>
      <c r="AG244" s="194"/>
      <c r="AH244" s="194"/>
      <c r="AI244" s="194"/>
      <c r="AJ244" s="194"/>
      <c r="AK244" s="195"/>
      <c r="AL244" s="164"/>
      <c r="AM244" s="164"/>
      <c r="AN244" s="164"/>
      <c r="AO244" s="164"/>
      <c r="AP244" s="164"/>
      <c r="AQ244" s="164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</row>
    <row r="245" spans="2:55" s="29" customFormat="1" ht="21" customHeight="1" x14ac:dyDescent="0.3">
      <c r="B245" s="161"/>
      <c r="C245" s="162"/>
      <c r="D245" s="162"/>
      <c r="E245" s="163"/>
      <c r="F245" s="192"/>
      <c r="G245" s="192"/>
      <c r="H245" s="192"/>
      <c r="I245" s="192"/>
      <c r="J245" s="186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8"/>
      <c r="V245" s="168"/>
      <c r="W245" s="169"/>
      <c r="X245" s="169"/>
      <c r="Y245" s="170"/>
      <c r="Z245" s="193"/>
      <c r="AA245" s="194"/>
      <c r="AB245" s="194"/>
      <c r="AC245" s="194"/>
      <c r="AD245" s="194"/>
      <c r="AE245" s="194"/>
      <c r="AF245" s="194"/>
      <c r="AG245" s="194"/>
      <c r="AH245" s="194"/>
      <c r="AI245" s="194"/>
      <c r="AJ245" s="194"/>
      <c r="AK245" s="195"/>
      <c r="AL245" s="164"/>
      <c r="AM245" s="164"/>
      <c r="AN245" s="164"/>
      <c r="AO245" s="164"/>
      <c r="AP245" s="164"/>
      <c r="AQ245" s="164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</row>
    <row r="246" spans="2:55" s="29" customFormat="1" ht="21" customHeight="1" x14ac:dyDescent="0.3">
      <c r="B246" s="161"/>
      <c r="C246" s="162"/>
      <c r="D246" s="162"/>
      <c r="E246" s="163"/>
      <c r="F246" s="192"/>
      <c r="G246" s="192"/>
      <c r="H246" s="192"/>
      <c r="I246" s="192"/>
      <c r="J246" s="186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8"/>
      <c r="V246" s="168"/>
      <c r="W246" s="169"/>
      <c r="X246" s="169"/>
      <c r="Y246" s="170"/>
      <c r="Z246" s="193"/>
      <c r="AA246" s="194"/>
      <c r="AB246" s="194"/>
      <c r="AC246" s="194"/>
      <c r="AD246" s="194"/>
      <c r="AE246" s="194"/>
      <c r="AF246" s="194"/>
      <c r="AG246" s="194"/>
      <c r="AH246" s="194"/>
      <c r="AI246" s="194"/>
      <c r="AJ246" s="194"/>
      <c r="AK246" s="195"/>
      <c r="AL246" s="164"/>
      <c r="AM246" s="164"/>
      <c r="AN246" s="164"/>
      <c r="AO246" s="164"/>
      <c r="AP246" s="164"/>
      <c r="AQ246" s="164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</row>
    <row r="247" spans="2:55" s="29" customFormat="1" ht="21" customHeight="1" x14ac:dyDescent="0.3">
      <c r="B247" s="161"/>
      <c r="C247" s="162"/>
      <c r="D247" s="162"/>
      <c r="E247" s="163"/>
      <c r="F247" s="192"/>
      <c r="G247" s="192"/>
      <c r="H247" s="192"/>
      <c r="I247" s="192"/>
      <c r="J247" s="186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8"/>
      <c r="V247" s="168"/>
      <c r="W247" s="169"/>
      <c r="X247" s="169"/>
      <c r="Y247" s="170"/>
      <c r="Z247" s="193"/>
      <c r="AA247" s="194"/>
      <c r="AB247" s="194"/>
      <c r="AC247" s="194"/>
      <c r="AD247" s="194"/>
      <c r="AE247" s="194"/>
      <c r="AF247" s="194"/>
      <c r="AG247" s="194"/>
      <c r="AH247" s="194"/>
      <c r="AI247" s="194"/>
      <c r="AJ247" s="194"/>
      <c r="AK247" s="195"/>
      <c r="AL247" s="164"/>
      <c r="AM247" s="164"/>
      <c r="AN247" s="164"/>
      <c r="AO247" s="164"/>
      <c r="AP247" s="164"/>
      <c r="AQ247" s="164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</row>
    <row r="248" spans="2:55" s="29" customFormat="1" ht="21" customHeight="1" x14ac:dyDescent="0.3">
      <c r="B248" s="161"/>
      <c r="C248" s="162"/>
      <c r="D248" s="162"/>
      <c r="E248" s="163"/>
      <c r="F248" s="192"/>
      <c r="G248" s="192"/>
      <c r="H248" s="192"/>
      <c r="I248" s="192"/>
      <c r="J248" s="186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8"/>
      <c r="V248" s="168"/>
      <c r="W248" s="169"/>
      <c r="X248" s="169"/>
      <c r="Y248" s="170"/>
      <c r="Z248" s="193"/>
      <c r="AA248" s="194"/>
      <c r="AB248" s="194"/>
      <c r="AC248" s="194"/>
      <c r="AD248" s="194"/>
      <c r="AE248" s="194"/>
      <c r="AF248" s="194"/>
      <c r="AG248" s="194"/>
      <c r="AH248" s="194"/>
      <c r="AI248" s="194"/>
      <c r="AJ248" s="194"/>
      <c r="AK248" s="195"/>
      <c r="AL248" s="164"/>
      <c r="AM248" s="164"/>
      <c r="AN248" s="164"/>
      <c r="AO248" s="164"/>
      <c r="AP248" s="164"/>
      <c r="AQ248" s="164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</row>
    <row r="249" spans="2:55" s="29" customFormat="1" ht="21" customHeight="1" x14ac:dyDescent="0.3">
      <c r="B249" s="161"/>
      <c r="C249" s="162"/>
      <c r="D249" s="162"/>
      <c r="E249" s="163"/>
      <c r="F249" s="192"/>
      <c r="G249" s="192"/>
      <c r="H249" s="192"/>
      <c r="I249" s="192"/>
      <c r="J249" s="186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8"/>
      <c r="V249" s="168"/>
      <c r="W249" s="169"/>
      <c r="X249" s="169"/>
      <c r="Y249" s="170"/>
      <c r="Z249" s="193"/>
      <c r="AA249" s="194"/>
      <c r="AB249" s="194"/>
      <c r="AC249" s="194"/>
      <c r="AD249" s="194"/>
      <c r="AE249" s="194"/>
      <c r="AF249" s="194"/>
      <c r="AG249" s="194"/>
      <c r="AH249" s="194"/>
      <c r="AI249" s="194"/>
      <c r="AJ249" s="194"/>
      <c r="AK249" s="195"/>
      <c r="AL249" s="164"/>
      <c r="AM249" s="164"/>
      <c r="AN249" s="164"/>
      <c r="AO249" s="164"/>
      <c r="AP249" s="164"/>
      <c r="AQ249" s="164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</row>
    <row r="250" spans="2:55" s="29" customFormat="1" ht="21" customHeight="1" x14ac:dyDescent="0.3">
      <c r="B250" s="161"/>
      <c r="C250" s="162"/>
      <c r="D250" s="162"/>
      <c r="E250" s="163"/>
      <c r="F250" s="192"/>
      <c r="G250" s="192"/>
      <c r="H250" s="192"/>
      <c r="I250" s="192"/>
      <c r="J250" s="189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1"/>
      <c r="V250" s="171"/>
      <c r="W250" s="172"/>
      <c r="X250" s="172"/>
      <c r="Y250" s="173"/>
      <c r="Z250" s="199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1"/>
      <c r="AL250" s="164"/>
      <c r="AM250" s="164"/>
      <c r="AN250" s="164"/>
      <c r="AO250" s="164"/>
      <c r="AP250" s="164"/>
      <c r="AQ250" s="164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</row>
    <row r="251" spans="2:55" s="29" customFormat="1" ht="21" customHeight="1" x14ac:dyDescent="0.3">
      <c r="B251" s="161"/>
      <c r="C251" s="162"/>
      <c r="D251" s="162"/>
      <c r="E251" s="163"/>
      <c r="F251" s="192"/>
      <c r="G251" s="192"/>
      <c r="H251" s="192"/>
      <c r="I251" s="192"/>
      <c r="J251" s="183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5"/>
      <c r="V251" s="165"/>
      <c r="W251" s="166"/>
      <c r="X251" s="166"/>
      <c r="Y251" s="167"/>
      <c r="Z251" s="196"/>
      <c r="AA251" s="197"/>
      <c r="AB251" s="197"/>
      <c r="AC251" s="197"/>
      <c r="AD251" s="197"/>
      <c r="AE251" s="197"/>
      <c r="AF251" s="197"/>
      <c r="AG251" s="197"/>
      <c r="AH251" s="197"/>
      <c r="AI251" s="197"/>
      <c r="AJ251" s="197"/>
      <c r="AK251" s="198"/>
      <c r="AL251" s="164"/>
      <c r="AM251" s="164"/>
      <c r="AN251" s="164"/>
      <c r="AO251" s="164"/>
      <c r="AP251" s="164"/>
      <c r="AQ251" s="164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</row>
    <row r="252" spans="2:55" s="29" customFormat="1" ht="21" customHeight="1" x14ac:dyDescent="0.3">
      <c r="B252" s="161"/>
      <c r="C252" s="162"/>
      <c r="D252" s="162"/>
      <c r="E252" s="163"/>
      <c r="F252" s="192"/>
      <c r="G252" s="192"/>
      <c r="H252" s="192"/>
      <c r="I252" s="192"/>
      <c r="J252" s="186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8"/>
      <c r="V252" s="168"/>
      <c r="W252" s="169"/>
      <c r="X252" s="169"/>
      <c r="Y252" s="170"/>
      <c r="Z252" s="193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5"/>
      <c r="AL252" s="164"/>
      <c r="AM252" s="164"/>
      <c r="AN252" s="164"/>
      <c r="AO252" s="164"/>
      <c r="AP252" s="164"/>
      <c r="AQ252" s="164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</row>
    <row r="253" spans="2:55" s="29" customFormat="1" ht="21" customHeight="1" x14ac:dyDescent="0.3">
      <c r="B253" s="161"/>
      <c r="C253" s="162"/>
      <c r="D253" s="162"/>
      <c r="E253" s="163"/>
      <c r="F253" s="192"/>
      <c r="G253" s="192"/>
      <c r="H253" s="192"/>
      <c r="I253" s="192"/>
      <c r="J253" s="186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8"/>
      <c r="V253" s="168"/>
      <c r="W253" s="169"/>
      <c r="X253" s="169"/>
      <c r="Y253" s="170"/>
      <c r="Z253" s="193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5"/>
      <c r="AL253" s="164"/>
      <c r="AM253" s="164"/>
      <c r="AN253" s="164"/>
      <c r="AO253" s="164"/>
      <c r="AP253" s="164"/>
      <c r="AQ253" s="164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</row>
    <row r="254" spans="2:55" s="29" customFormat="1" ht="21" customHeight="1" x14ac:dyDescent="0.3">
      <c r="B254" s="161"/>
      <c r="C254" s="162"/>
      <c r="D254" s="162"/>
      <c r="E254" s="163"/>
      <c r="F254" s="192"/>
      <c r="G254" s="192"/>
      <c r="H254" s="192"/>
      <c r="I254" s="192"/>
      <c r="J254" s="186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8"/>
      <c r="V254" s="168"/>
      <c r="W254" s="169"/>
      <c r="X254" s="169"/>
      <c r="Y254" s="170"/>
      <c r="Z254" s="193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5"/>
      <c r="AL254" s="164"/>
      <c r="AM254" s="164"/>
      <c r="AN254" s="164"/>
      <c r="AO254" s="164"/>
      <c r="AP254" s="164"/>
      <c r="AQ254" s="164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</row>
    <row r="255" spans="2:55" s="29" customFormat="1" ht="21" customHeight="1" x14ac:dyDescent="0.3">
      <c r="B255" s="161"/>
      <c r="C255" s="162"/>
      <c r="D255" s="162"/>
      <c r="E255" s="163"/>
      <c r="F255" s="192"/>
      <c r="G255" s="192"/>
      <c r="H255" s="192"/>
      <c r="I255" s="192"/>
      <c r="J255" s="186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8"/>
      <c r="V255" s="168"/>
      <c r="W255" s="169"/>
      <c r="X255" s="169"/>
      <c r="Y255" s="170"/>
      <c r="Z255" s="193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5"/>
      <c r="AL255" s="164"/>
      <c r="AM255" s="164"/>
      <c r="AN255" s="164"/>
      <c r="AO255" s="164"/>
      <c r="AP255" s="164"/>
      <c r="AQ255" s="164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</row>
    <row r="256" spans="2:55" s="29" customFormat="1" ht="21" customHeight="1" x14ac:dyDescent="0.3">
      <c r="B256" s="161"/>
      <c r="C256" s="162"/>
      <c r="D256" s="162"/>
      <c r="E256" s="163"/>
      <c r="F256" s="192"/>
      <c r="G256" s="192"/>
      <c r="H256" s="192"/>
      <c r="I256" s="192"/>
      <c r="J256" s="186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8"/>
      <c r="V256" s="168"/>
      <c r="W256" s="169"/>
      <c r="X256" s="169"/>
      <c r="Y256" s="170"/>
      <c r="Z256" s="193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5"/>
      <c r="AL256" s="164"/>
      <c r="AM256" s="164"/>
      <c r="AN256" s="164"/>
      <c r="AO256" s="164"/>
      <c r="AP256" s="164"/>
      <c r="AQ256" s="164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</row>
    <row r="257" spans="2:55" s="29" customFormat="1" ht="21" customHeight="1" x14ac:dyDescent="0.3">
      <c r="B257" s="161"/>
      <c r="C257" s="162"/>
      <c r="D257" s="162"/>
      <c r="E257" s="163"/>
      <c r="F257" s="192"/>
      <c r="G257" s="192"/>
      <c r="H257" s="192"/>
      <c r="I257" s="192"/>
      <c r="J257" s="186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8"/>
      <c r="V257" s="168"/>
      <c r="W257" s="169"/>
      <c r="X257" s="169"/>
      <c r="Y257" s="170"/>
      <c r="Z257" s="193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5"/>
      <c r="AL257" s="164"/>
      <c r="AM257" s="164"/>
      <c r="AN257" s="164"/>
      <c r="AO257" s="164"/>
      <c r="AP257" s="164"/>
      <c r="AQ257" s="164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</row>
    <row r="258" spans="2:55" s="29" customFormat="1" ht="21" customHeight="1" x14ac:dyDescent="0.3">
      <c r="B258" s="161"/>
      <c r="C258" s="162"/>
      <c r="D258" s="162"/>
      <c r="E258" s="163"/>
      <c r="F258" s="192"/>
      <c r="G258" s="192"/>
      <c r="H258" s="192"/>
      <c r="I258" s="192"/>
      <c r="J258" s="189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1"/>
      <c r="V258" s="171"/>
      <c r="W258" s="172"/>
      <c r="X258" s="172"/>
      <c r="Y258" s="173"/>
      <c r="Z258" s="199"/>
      <c r="AA258" s="200"/>
      <c r="AB258" s="200"/>
      <c r="AC258" s="200"/>
      <c r="AD258" s="200"/>
      <c r="AE258" s="200"/>
      <c r="AF258" s="200"/>
      <c r="AG258" s="200"/>
      <c r="AH258" s="200"/>
      <c r="AI258" s="200"/>
      <c r="AJ258" s="200"/>
      <c r="AK258" s="201"/>
      <c r="AL258" s="164"/>
      <c r="AM258" s="164"/>
      <c r="AN258" s="164"/>
      <c r="AO258" s="164"/>
      <c r="AP258" s="164"/>
      <c r="AQ258" s="164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</row>
    <row r="259" spans="2:55" s="29" customFormat="1" ht="21" customHeight="1" x14ac:dyDescent="0.3">
      <c r="B259" s="161"/>
      <c r="C259" s="162"/>
      <c r="D259" s="162"/>
      <c r="E259" s="163"/>
      <c r="F259" s="192"/>
      <c r="G259" s="192"/>
      <c r="H259" s="192"/>
      <c r="I259" s="192"/>
      <c r="J259" s="183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5"/>
      <c r="V259" s="165"/>
      <c r="W259" s="166"/>
      <c r="X259" s="166"/>
      <c r="Y259" s="167"/>
      <c r="Z259" s="196"/>
      <c r="AA259" s="197"/>
      <c r="AB259" s="197"/>
      <c r="AC259" s="197"/>
      <c r="AD259" s="197"/>
      <c r="AE259" s="197"/>
      <c r="AF259" s="197"/>
      <c r="AG259" s="197"/>
      <c r="AH259" s="197"/>
      <c r="AI259" s="197"/>
      <c r="AJ259" s="197"/>
      <c r="AK259" s="198"/>
      <c r="AL259" s="164"/>
      <c r="AM259" s="164"/>
      <c r="AN259" s="164"/>
      <c r="AO259" s="164"/>
      <c r="AP259" s="164"/>
      <c r="AQ259" s="164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</row>
    <row r="260" spans="2:55" s="29" customFormat="1" ht="21" customHeight="1" x14ac:dyDescent="0.3">
      <c r="B260" s="161"/>
      <c r="C260" s="162"/>
      <c r="D260" s="162"/>
      <c r="E260" s="163"/>
      <c r="F260" s="192"/>
      <c r="G260" s="192"/>
      <c r="H260" s="192"/>
      <c r="I260" s="192"/>
      <c r="J260" s="186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8"/>
      <c r="V260" s="168"/>
      <c r="W260" s="169"/>
      <c r="X260" s="169"/>
      <c r="Y260" s="170"/>
      <c r="Z260" s="193"/>
      <c r="AA260" s="194"/>
      <c r="AB260" s="194"/>
      <c r="AC260" s="194"/>
      <c r="AD260" s="194"/>
      <c r="AE260" s="194"/>
      <c r="AF260" s="194"/>
      <c r="AG260" s="194"/>
      <c r="AH260" s="194"/>
      <c r="AI260" s="194"/>
      <c r="AJ260" s="194"/>
      <c r="AK260" s="195"/>
      <c r="AL260" s="164"/>
      <c r="AM260" s="164"/>
      <c r="AN260" s="164"/>
      <c r="AO260" s="164"/>
      <c r="AP260" s="164"/>
      <c r="AQ260" s="164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</row>
    <row r="261" spans="2:55" s="29" customFormat="1" ht="21" customHeight="1" x14ac:dyDescent="0.3">
      <c r="B261" s="161"/>
      <c r="C261" s="162"/>
      <c r="D261" s="162"/>
      <c r="E261" s="163"/>
      <c r="F261" s="192"/>
      <c r="G261" s="192"/>
      <c r="H261" s="192"/>
      <c r="I261" s="192"/>
      <c r="J261" s="186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8"/>
      <c r="V261" s="168"/>
      <c r="W261" s="169"/>
      <c r="X261" s="169"/>
      <c r="Y261" s="170"/>
      <c r="Z261" s="193"/>
      <c r="AA261" s="194"/>
      <c r="AB261" s="194"/>
      <c r="AC261" s="194"/>
      <c r="AD261" s="194"/>
      <c r="AE261" s="194"/>
      <c r="AF261" s="194"/>
      <c r="AG261" s="194"/>
      <c r="AH261" s="194"/>
      <c r="AI261" s="194"/>
      <c r="AJ261" s="194"/>
      <c r="AK261" s="195"/>
      <c r="AL261" s="164"/>
      <c r="AM261" s="164"/>
      <c r="AN261" s="164"/>
      <c r="AO261" s="164"/>
      <c r="AP261" s="164"/>
      <c r="AQ261" s="164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</row>
    <row r="262" spans="2:55" s="29" customFormat="1" ht="21" customHeight="1" x14ac:dyDescent="0.3">
      <c r="B262" s="161"/>
      <c r="C262" s="162"/>
      <c r="D262" s="162"/>
      <c r="E262" s="163"/>
      <c r="F262" s="192"/>
      <c r="G262" s="192"/>
      <c r="H262" s="192"/>
      <c r="I262" s="192"/>
      <c r="J262" s="186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8"/>
      <c r="V262" s="168"/>
      <c r="W262" s="169"/>
      <c r="X262" s="169"/>
      <c r="Y262" s="170"/>
      <c r="Z262" s="193"/>
      <c r="AA262" s="194"/>
      <c r="AB262" s="194"/>
      <c r="AC262" s="194"/>
      <c r="AD262" s="194"/>
      <c r="AE262" s="194"/>
      <c r="AF262" s="194"/>
      <c r="AG262" s="194"/>
      <c r="AH262" s="194"/>
      <c r="AI262" s="194"/>
      <c r="AJ262" s="194"/>
      <c r="AK262" s="195"/>
      <c r="AL262" s="164"/>
      <c r="AM262" s="164"/>
      <c r="AN262" s="164"/>
      <c r="AO262" s="164"/>
      <c r="AP262" s="164"/>
      <c r="AQ262" s="164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</row>
    <row r="263" spans="2:55" s="29" customFormat="1" ht="21" customHeight="1" x14ac:dyDescent="0.3">
      <c r="B263" s="161"/>
      <c r="C263" s="162"/>
      <c r="D263" s="162"/>
      <c r="E263" s="163"/>
      <c r="F263" s="192"/>
      <c r="G263" s="192"/>
      <c r="H263" s="192"/>
      <c r="I263" s="192"/>
      <c r="J263" s="186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8"/>
      <c r="V263" s="168"/>
      <c r="W263" s="169"/>
      <c r="X263" s="169"/>
      <c r="Y263" s="170"/>
      <c r="Z263" s="193"/>
      <c r="AA263" s="194"/>
      <c r="AB263" s="194"/>
      <c r="AC263" s="194"/>
      <c r="AD263" s="194"/>
      <c r="AE263" s="194"/>
      <c r="AF263" s="194"/>
      <c r="AG263" s="194"/>
      <c r="AH263" s="194"/>
      <c r="AI263" s="194"/>
      <c r="AJ263" s="194"/>
      <c r="AK263" s="195"/>
      <c r="AL263" s="164"/>
      <c r="AM263" s="164"/>
      <c r="AN263" s="164"/>
      <c r="AO263" s="164"/>
      <c r="AP263" s="164"/>
      <c r="AQ263" s="164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</row>
    <row r="264" spans="2:55" s="29" customFormat="1" ht="21" customHeight="1" x14ac:dyDescent="0.3">
      <c r="B264" s="161"/>
      <c r="C264" s="162"/>
      <c r="D264" s="162"/>
      <c r="E264" s="163"/>
      <c r="F264" s="192"/>
      <c r="G264" s="192"/>
      <c r="H264" s="192"/>
      <c r="I264" s="192"/>
      <c r="J264" s="186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8"/>
      <c r="V264" s="168"/>
      <c r="W264" s="169"/>
      <c r="X264" s="169"/>
      <c r="Y264" s="170"/>
      <c r="Z264" s="193"/>
      <c r="AA264" s="194"/>
      <c r="AB264" s="194"/>
      <c r="AC264" s="194"/>
      <c r="AD264" s="194"/>
      <c r="AE264" s="194"/>
      <c r="AF264" s="194"/>
      <c r="AG264" s="194"/>
      <c r="AH264" s="194"/>
      <c r="AI264" s="194"/>
      <c r="AJ264" s="194"/>
      <c r="AK264" s="195"/>
      <c r="AL264" s="164"/>
      <c r="AM264" s="164"/>
      <c r="AN264" s="164"/>
      <c r="AO264" s="164"/>
      <c r="AP264" s="164"/>
      <c r="AQ264" s="164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</row>
    <row r="265" spans="2:55" s="29" customFormat="1" ht="21" customHeight="1" x14ac:dyDescent="0.3">
      <c r="B265" s="161"/>
      <c r="C265" s="162"/>
      <c r="D265" s="162"/>
      <c r="E265" s="163"/>
      <c r="F265" s="192"/>
      <c r="G265" s="192"/>
      <c r="H265" s="192"/>
      <c r="I265" s="192"/>
      <c r="J265" s="186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8"/>
      <c r="V265" s="168"/>
      <c r="W265" s="169"/>
      <c r="X265" s="169"/>
      <c r="Y265" s="170"/>
      <c r="Z265" s="193"/>
      <c r="AA265" s="194"/>
      <c r="AB265" s="194"/>
      <c r="AC265" s="194"/>
      <c r="AD265" s="194"/>
      <c r="AE265" s="194"/>
      <c r="AF265" s="194"/>
      <c r="AG265" s="194"/>
      <c r="AH265" s="194"/>
      <c r="AI265" s="194"/>
      <c r="AJ265" s="194"/>
      <c r="AK265" s="195"/>
      <c r="AL265" s="164"/>
      <c r="AM265" s="164"/>
      <c r="AN265" s="164"/>
      <c r="AO265" s="164"/>
      <c r="AP265" s="164"/>
      <c r="AQ265" s="164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</row>
    <row r="266" spans="2:55" s="29" customFormat="1" ht="21" customHeight="1" x14ac:dyDescent="0.3">
      <c r="B266" s="161"/>
      <c r="C266" s="162"/>
      <c r="D266" s="162"/>
      <c r="E266" s="163"/>
      <c r="F266" s="192"/>
      <c r="G266" s="192"/>
      <c r="H266" s="192"/>
      <c r="I266" s="192"/>
      <c r="J266" s="189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1"/>
      <c r="V266" s="171"/>
      <c r="W266" s="172"/>
      <c r="X266" s="172"/>
      <c r="Y266" s="173"/>
      <c r="Z266" s="199"/>
      <c r="AA266" s="200"/>
      <c r="AB266" s="200"/>
      <c r="AC266" s="200"/>
      <c r="AD266" s="200"/>
      <c r="AE266" s="200"/>
      <c r="AF266" s="200"/>
      <c r="AG266" s="200"/>
      <c r="AH266" s="200"/>
      <c r="AI266" s="200"/>
      <c r="AJ266" s="200"/>
      <c r="AK266" s="201"/>
      <c r="AL266" s="164"/>
      <c r="AM266" s="164"/>
      <c r="AN266" s="164"/>
      <c r="AO266" s="164"/>
      <c r="AP266" s="164"/>
      <c r="AQ266" s="164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</row>
    <row r="267" spans="2:55" s="29" customFormat="1" ht="21" customHeight="1" x14ac:dyDescent="0.3">
      <c r="B267" s="161"/>
      <c r="C267" s="162"/>
      <c r="D267" s="162"/>
      <c r="E267" s="163"/>
      <c r="F267" s="192"/>
      <c r="G267" s="192"/>
      <c r="H267" s="192"/>
      <c r="I267" s="192"/>
      <c r="J267" s="183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5"/>
      <c r="V267" s="165"/>
      <c r="W267" s="166"/>
      <c r="X267" s="166"/>
      <c r="Y267" s="167"/>
      <c r="Z267" s="196"/>
      <c r="AA267" s="197"/>
      <c r="AB267" s="197"/>
      <c r="AC267" s="197"/>
      <c r="AD267" s="197"/>
      <c r="AE267" s="197"/>
      <c r="AF267" s="197"/>
      <c r="AG267" s="197"/>
      <c r="AH267" s="197"/>
      <c r="AI267" s="197"/>
      <c r="AJ267" s="197"/>
      <c r="AK267" s="198"/>
      <c r="AL267" s="164"/>
      <c r="AM267" s="164"/>
      <c r="AN267" s="164"/>
      <c r="AO267" s="164"/>
      <c r="AP267" s="164"/>
      <c r="AQ267" s="164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</row>
    <row r="268" spans="2:55" s="29" customFormat="1" ht="21" customHeight="1" x14ac:dyDescent="0.3">
      <c r="B268" s="161"/>
      <c r="C268" s="162"/>
      <c r="D268" s="162"/>
      <c r="E268" s="163"/>
      <c r="F268" s="192"/>
      <c r="G268" s="192"/>
      <c r="H268" s="192"/>
      <c r="I268" s="192"/>
      <c r="J268" s="186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8"/>
      <c r="V268" s="168"/>
      <c r="W268" s="169"/>
      <c r="X268" s="169"/>
      <c r="Y268" s="170"/>
      <c r="Z268" s="193"/>
      <c r="AA268" s="194"/>
      <c r="AB268" s="194"/>
      <c r="AC268" s="194"/>
      <c r="AD268" s="194"/>
      <c r="AE268" s="194"/>
      <c r="AF268" s="194"/>
      <c r="AG268" s="194"/>
      <c r="AH268" s="194"/>
      <c r="AI268" s="194"/>
      <c r="AJ268" s="194"/>
      <c r="AK268" s="195"/>
      <c r="AL268" s="164"/>
      <c r="AM268" s="164"/>
      <c r="AN268" s="164"/>
      <c r="AO268" s="164"/>
      <c r="AP268" s="164"/>
      <c r="AQ268" s="164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</row>
    <row r="269" spans="2:55" s="29" customFormat="1" ht="21" customHeight="1" x14ac:dyDescent="0.3">
      <c r="B269" s="161"/>
      <c r="C269" s="162"/>
      <c r="D269" s="162"/>
      <c r="E269" s="163"/>
      <c r="F269" s="192"/>
      <c r="G269" s="192"/>
      <c r="H269" s="192"/>
      <c r="I269" s="192"/>
      <c r="J269" s="186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8"/>
      <c r="V269" s="168"/>
      <c r="W269" s="169"/>
      <c r="X269" s="169"/>
      <c r="Y269" s="170"/>
      <c r="Z269" s="193"/>
      <c r="AA269" s="194"/>
      <c r="AB269" s="194"/>
      <c r="AC269" s="194"/>
      <c r="AD269" s="194"/>
      <c r="AE269" s="194"/>
      <c r="AF269" s="194"/>
      <c r="AG269" s="194"/>
      <c r="AH269" s="194"/>
      <c r="AI269" s="194"/>
      <c r="AJ269" s="194"/>
      <c r="AK269" s="195"/>
      <c r="AL269" s="164"/>
      <c r="AM269" s="164"/>
      <c r="AN269" s="164"/>
      <c r="AO269" s="164"/>
      <c r="AP269" s="164"/>
      <c r="AQ269" s="164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</row>
    <row r="270" spans="2:55" s="29" customFormat="1" ht="21" customHeight="1" x14ac:dyDescent="0.3">
      <c r="B270" s="161"/>
      <c r="C270" s="162"/>
      <c r="D270" s="162"/>
      <c r="E270" s="163"/>
      <c r="F270" s="192"/>
      <c r="G270" s="192"/>
      <c r="H270" s="192"/>
      <c r="I270" s="192"/>
      <c r="J270" s="186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8"/>
      <c r="V270" s="168"/>
      <c r="W270" s="169"/>
      <c r="X270" s="169"/>
      <c r="Y270" s="170"/>
      <c r="Z270" s="193"/>
      <c r="AA270" s="194"/>
      <c r="AB270" s="194"/>
      <c r="AC270" s="194"/>
      <c r="AD270" s="194"/>
      <c r="AE270" s="194"/>
      <c r="AF270" s="194"/>
      <c r="AG270" s="194"/>
      <c r="AH270" s="194"/>
      <c r="AI270" s="194"/>
      <c r="AJ270" s="194"/>
      <c r="AK270" s="195"/>
      <c r="AL270" s="164"/>
      <c r="AM270" s="164"/>
      <c r="AN270" s="164"/>
      <c r="AO270" s="164"/>
      <c r="AP270" s="164"/>
      <c r="AQ270" s="164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</row>
    <row r="271" spans="2:55" s="29" customFormat="1" ht="21" customHeight="1" x14ac:dyDescent="0.3">
      <c r="B271" s="161"/>
      <c r="C271" s="162"/>
      <c r="D271" s="162"/>
      <c r="E271" s="163"/>
      <c r="F271" s="192"/>
      <c r="G271" s="192"/>
      <c r="H271" s="192"/>
      <c r="I271" s="192"/>
      <c r="J271" s="186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8"/>
      <c r="V271" s="168"/>
      <c r="W271" s="169"/>
      <c r="X271" s="169"/>
      <c r="Y271" s="170"/>
      <c r="Z271" s="193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5"/>
      <c r="AL271" s="164"/>
      <c r="AM271" s="164"/>
      <c r="AN271" s="164"/>
      <c r="AO271" s="164"/>
      <c r="AP271" s="164"/>
      <c r="AQ271" s="164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</row>
    <row r="272" spans="2:55" s="29" customFormat="1" ht="21" customHeight="1" x14ac:dyDescent="0.3">
      <c r="B272" s="161"/>
      <c r="C272" s="162"/>
      <c r="D272" s="162"/>
      <c r="E272" s="163"/>
      <c r="F272" s="192"/>
      <c r="G272" s="192"/>
      <c r="H272" s="192"/>
      <c r="I272" s="192"/>
      <c r="J272" s="186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8"/>
      <c r="V272" s="168"/>
      <c r="W272" s="169"/>
      <c r="X272" s="169"/>
      <c r="Y272" s="170"/>
      <c r="Z272" s="193"/>
      <c r="AA272" s="194"/>
      <c r="AB272" s="194"/>
      <c r="AC272" s="194"/>
      <c r="AD272" s="194"/>
      <c r="AE272" s="194"/>
      <c r="AF272" s="194"/>
      <c r="AG272" s="194"/>
      <c r="AH272" s="194"/>
      <c r="AI272" s="194"/>
      <c r="AJ272" s="194"/>
      <c r="AK272" s="195"/>
      <c r="AL272" s="164"/>
      <c r="AM272" s="164"/>
      <c r="AN272" s="164"/>
      <c r="AO272" s="164"/>
      <c r="AP272" s="164"/>
      <c r="AQ272" s="164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</row>
    <row r="273" spans="2:55" s="29" customFormat="1" ht="21" customHeight="1" x14ac:dyDescent="0.3">
      <c r="B273" s="161"/>
      <c r="C273" s="162"/>
      <c r="D273" s="162"/>
      <c r="E273" s="163"/>
      <c r="F273" s="192"/>
      <c r="G273" s="192"/>
      <c r="H273" s="192"/>
      <c r="I273" s="192"/>
      <c r="J273" s="186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8"/>
      <c r="V273" s="168"/>
      <c r="W273" s="169"/>
      <c r="X273" s="169"/>
      <c r="Y273" s="170"/>
      <c r="Z273" s="193"/>
      <c r="AA273" s="194"/>
      <c r="AB273" s="194"/>
      <c r="AC273" s="194"/>
      <c r="AD273" s="194"/>
      <c r="AE273" s="194"/>
      <c r="AF273" s="194"/>
      <c r="AG273" s="194"/>
      <c r="AH273" s="194"/>
      <c r="AI273" s="194"/>
      <c r="AJ273" s="194"/>
      <c r="AK273" s="195"/>
      <c r="AL273" s="164"/>
      <c r="AM273" s="164"/>
      <c r="AN273" s="164"/>
      <c r="AO273" s="164"/>
      <c r="AP273" s="164"/>
      <c r="AQ273" s="164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</row>
    <row r="274" spans="2:55" s="29" customFormat="1" ht="21" customHeight="1" x14ac:dyDescent="0.3">
      <c r="B274" s="161"/>
      <c r="C274" s="162"/>
      <c r="D274" s="162"/>
      <c r="E274" s="163"/>
      <c r="F274" s="192"/>
      <c r="G274" s="192"/>
      <c r="H274" s="192"/>
      <c r="I274" s="192"/>
      <c r="J274" s="189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1"/>
      <c r="V274" s="171"/>
      <c r="W274" s="172"/>
      <c r="X274" s="172"/>
      <c r="Y274" s="173"/>
      <c r="Z274" s="199"/>
      <c r="AA274" s="200"/>
      <c r="AB274" s="200"/>
      <c r="AC274" s="200"/>
      <c r="AD274" s="200"/>
      <c r="AE274" s="200"/>
      <c r="AF274" s="200"/>
      <c r="AG274" s="200"/>
      <c r="AH274" s="200"/>
      <c r="AI274" s="200"/>
      <c r="AJ274" s="200"/>
      <c r="AK274" s="201"/>
      <c r="AL274" s="164"/>
      <c r="AM274" s="164"/>
      <c r="AN274" s="164"/>
      <c r="AO274" s="164"/>
      <c r="AP274" s="164"/>
      <c r="AQ274" s="164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</row>
    <row r="275" spans="2:55" s="29" customFormat="1" ht="21" customHeight="1" x14ac:dyDescent="0.3">
      <c r="B275" s="161"/>
      <c r="C275" s="162"/>
      <c r="D275" s="162"/>
      <c r="E275" s="163"/>
      <c r="F275" s="192"/>
      <c r="G275" s="192"/>
      <c r="H275" s="192"/>
      <c r="I275" s="192"/>
      <c r="J275" s="183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5"/>
      <c r="V275" s="165"/>
      <c r="W275" s="166"/>
      <c r="X275" s="166"/>
      <c r="Y275" s="167"/>
      <c r="Z275" s="196"/>
      <c r="AA275" s="197"/>
      <c r="AB275" s="197"/>
      <c r="AC275" s="197"/>
      <c r="AD275" s="197"/>
      <c r="AE275" s="197"/>
      <c r="AF275" s="197"/>
      <c r="AG275" s="197"/>
      <c r="AH275" s="197"/>
      <c r="AI275" s="197"/>
      <c r="AJ275" s="197"/>
      <c r="AK275" s="198"/>
      <c r="AL275" s="164"/>
      <c r="AM275" s="164"/>
      <c r="AN275" s="164"/>
      <c r="AO275" s="164"/>
      <c r="AP275" s="164"/>
      <c r="AQ275" s="164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</row>
    <row r="276" spans="2:55" s="29" customFormat="1" ht="21" customHeight="1" x14ac:dyDescent="0.3">
      <c r="B276" s="161"/>
      <c r="C276" s="162"/>
      <c r="D276" s="162"/>
      <c r="E276" s="163"/>
      <c r="F276" s="192"/>
      <c r="G276" s="192"/>
      <c r="H276" s="192"/>
      <c r="I276" s="192"/>
      <c r="J276" s="186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8"/>
      <c r="V276" s="168"/>
      <c r="W276" s="169"/>
      <c r="X276" s="169"/>
      <c r="Y276" s="170"/>
      <c r="Z276" s="193"/>
      <c r="AA276" s="194"/>
      <c r="AB276" s="194"/>
      <c r="AC276" s="194"/>
      <c r="AD276" s="194"/>
      <c r="AE276" s="194"/>
      <c r="AF276" s="194"/>
      <c r="AG276" s="194"/>
      <c r="AH276" s="194"/>
      <c r="AI276" s="194"/>
      <c r="AJ276" s="194"/>
      <c r="AK276" s="195"/>
      <c r="AL276" s="164"/>
      <c r="AM276" s="164"/>
      <c r="AN276" s="164"/>
      <c r="AO276" s="164"/>
      <c r="AP276" s="164"/>
      <c r="AQ276" s="164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</row>
    <row r="277" spans="2:55" s="29" customFormat="1" ht="21" customHeight="1" x14ac:dyDescent="0.3">
      <c r="B277" s="161"/>
      <c r="C277" s="162"/>
      <c r="D277" s="162"/>
      <c r="E277" s="163"/>
      <c r="F277" s="192"/>
      <c r="G277" s="192"/>
      <c r="H277" s="192"/>
      <c r="I277" s="192"/>
      <c r="J277" s="186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8"/>
      <c r="V277" s="168"/>
      <c r="W277" s="169"/>
      <c r="X277" s="169"/>
      <c r="Y277" s="170"/>
      <c r="Z277" s="193"/>
      <c r="AA277" s="194"/>
      <c r="AB277" s="194"/>
      <c r="AC277" s="194"/>
      <c r="AD277" s="194"/>
      <c r="AE277" s="194"/>
      <c r="AF277" s="194"/>
      <c r="AG277" s="194"/>
      <c r="AH277" s="194"/>
      <c r="AI277" s="194"/>
      <c r="AJ277" s="194"/>
      <c r="AK277" s="195"/>
      <c r="AL277" s="164"/>
      <c r="AM277" s="164"/>
      <c r="AN277" s="164"/>
      <c r="AO277" s="164"/>
      <c r="AP277" s="164"/>
      <c r="AQ277" s="164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</row>
    <row r="278" spans="2:55" s="29" customFormat="1" ht="21" customHeight="1" x14ac:dyDescent="0.3">
      <c r="B278" s="161"/>
      <c r="C278" s="162"/>
      <c r="D278" s="162"/>
      <c r="E278" s="163"/>
      <c r="F278" s="192"/>
      <c r="G278" s="192"/>
      <c r="H278" s="192"/>
      <c r="I278" s="192"/>
      <c r="J278" s="186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8"/>
      <c r="V278" s="168"/>
      <c r="W278" s="169"/>
      <c r="X278" s="169"/>
      <c r="Y278" s="170"/>
      <c r="Z278" s="193"/>
      <c r="AA278" s="194"/>
      <c r="AB278" s="194"/>
      <c r="AC278" s="194"/>
      <c r="AD278" s="194"/>
      <c r="AE278" s="194"/>
      <c r="AF278" s="194"/>
      <c r="AG278" s="194"/>
      <c r="AH278" s="194"/>
      <c r="AI278" s="194"/>
      <c r="AJ278" s="194"/>
      <c r="AK278" s="195"/>
      <c r="AL278" s="164"/>
      <c r="AM278" s="164"/>
      <c r="AN278" s="164"/>
      <c r="AO278" s="164"/>
      <c r="AP278" s="164"/>
      <c r="AQ278" s="164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</row>
    <row r="279" spans="2:55" s="29" customFormat="1" ht="21" customHeight="1" x14ac:dyDescent="0.3">
      <c r="B279" s="161"/>
      <c r="C279" s="162"/>
      <c r="D279" s="162"/>
      <c r="E279" s="163"/>
      <c r="F279" s="192"/>
      <c r="G279" s="192"/>
      <c r="H279" s="192"/>
      <c r="I279" s="192"/>
      <c r="J279" s="186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8"/>
      <c r="V279" s="168"/>
      <c r="W279" s="169"/>
      <c r="X279" s="169"/>
      <c r="Y279" s="170"/>
      <c r="Z279" s="193"/>
      <c r="AA279" s="194"/>
      <c r="AB279" s="194"/>
      <c r="AC279" s="194"/>
      <c r="AD279" s="194"/>
      <c r="AE279" s="194"/>
      <c r="AF279" s="194"/>
      <c r="AG279" s="194"/>
      <c r="AH279" s="194"/>
      <c r="AI279" s="194"/>
      <c r="AJ279" s="194"/>
      <c r="AK279" s="195"/>
      <c r="AL279" s="164"/>
      <c r="AM279" s="164"/>
      <c r="AN279" s="164"/>
      <c r="AO279" s="164"/>
      <c r="AP279" s="164"/>
      <c r="AQ279" s="164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</row>
    <row r="280" spans="2:55" s="29" customFormat="1" ht="21" customHeight="1" x14ac:dyDescent="0.3">
      <c r="B280" s="161"/>
      <c r="C280" s="162"/>
      <c r="D280" s="162"/>
      <c r="E280" s="163"/>
      <c r="F280" s="192"/>
      <c r="G280" s="192"/>
      <c r="H280" s="192"/>
      <c r="I280" s="192"/>
      <c r="J280" s="186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8"/>
      <c r="V280" s="168"/>
      <c r="W280" s="169"/>
      <c r="X280" s="169"/>
      <c r="Y280" s="170"/>
      <c r="Z280" s="193"/>
      <c r="AA280" s="194"/>
      <c r="AB280" s="194"/>
      <c r="AC280" s="194"/>
      <c r="AD280" s="194"/>
      <c r="AE280" s="194"/>
      <c r="AF280" s="194"/>
      <c r="AG280" s="194"/>
      <c r="AH280" s="194"/>
      <c r="AI280" s="194"/>
      <c r="AJ280" s="194"/>
      <c r="AK280" s="195"/>
      <c r="AL280" s="164"/>
      <c r="AM280" s="164"/>
      <c r="AN280" s="164"/>
      <c r="AO280" s="164"/>
      <c r="AP280" s="164"/>
      <c r="AQ280" s="164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</row>
    <row r="281" spans="2:55" s="29" customFormat="1" ht="21" customHeight="1" x14ac:dyDescent="0.3">
      <c r="B281" s="161"/>
      <c r="C281" s="162"/>
      <c r="D281" s="162"/>
      <c r="E281" s="163"/>
      <c r="F281" s="192"/>
      <c r="G281" s="192"/>
      <c r="H281" s="192"/>
      <c r="I281" s="192"/>
      <c r="J281" s="186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8"/>
      <c r="V281" s="168"/>
      <c r="W281" s="169"/>
      <c r="X281" s="169"/>
      <c r="Y281" s="170"/>
      <c r="Z281" s="193"/>
      <c r="AA281" s="194"/>
      <c r="AB281" s="194"/>
      <c r="AC281" s="194"/>
      <c r="AD281" s="194"/>
      <c r="AE281" s="194"/>
      <c r="AF281" s="194"/>
      <c r="AG281" s="194"/>
      <c r="AH281" s="194"/>
      <c r="AI281" s="194"/>
      <c r="AJ281" s="194"/>
      <c r="AK281" s="195"/>
      <c r="AL281" s="164"/>
      <c r="AM281" s="164"/>
      <c r="AN281" s="164"/>
      <c r="AO281" s="164"/>
      <c r="AP281" s="164"/>
      <c r="AQ281" s="164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</row>
    <row r="282" spans="2:55" s="29" customFormat="1" ht="21" customHeight="1" x14ac:dyDescent="0.3">
      <c r="B282" s="161"/>
      <c r="C282" s="162"/>
      <c r="D282" s="162"/>
      <c r="E282" s="163"/>
      <c r="F282" s="192"/>
      <c r="G282" s="192"/>
      <c r="H282" s="192"/>
      <c r="I282" s="192"/>
      <c r="J282" s="189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1"/>
      <c r="V282" s="171"/>
      <c r="W282" s="172"/>
      <c r="X282" s="172"/>
      <c r="Y282" s="173"/>
      <c r="Z282" s="199"/>
      <c r="AA282" s="200"/>
      <c r="AB282" s="200"/>
      <c r="AC282" s="200"/>
      <c r="AD282" s="200"/>
      <c r="AE282" s="200"/>
      <c r="AF282" s="200"/>
      <c r="AG282" s="200"/>
      <c r="AH282" s="200"/>
      <c r="AI282" s="200"/>
      <c r="AJ282" s="200"/>
      <c r="AK282" s="201"/>
      <c r="AL282" s="164"/>
      <c r="AM282" s="164"/>
      <c r="AN282" s="164"/>
      <c r="AO282" s="164"/>
      <c r="AP282" s="164"/>
      <c r="AQ282" s="164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</row>
    <row r="283" spans="2:55" s="29" customFormat="1" ht="21" customHeight="1" x14ac:dyDescent="0.3">
      <c r="B283" s="161"/>
      <c r="C283" s="162"/>
      <c r="D283" s="162"/>
      <c r="E283" s="163"/>
      <c r="F283" s="192"/>
      <c r="G283" s="192"/>
      <c r="H283" s="192"/>
      <c r="I283" s="192"/>
      <c r="J283" s="183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5"/>
      <c r="V283" s="165"/>
      <c r="W283" s="166"/>
      <c r="X283" s="166"/>
      <c r="Y283" s="167"/>
      <c r="Z283" s="196"/>
      <c r="AA283" s="197"/>
      <c r="AB283" s="197"/>
      <c r="AC283" s="197"/>
      <c r="AD283" s="197"/>
      <c r="AE283" s="197"/>
      <c r="AF283" s="197"/>
      <c r="AG283" s="197"/>
      <c r="AH283" s="197"/>
      <c r="AI283" s="197"/>
      <c r="AJ283" s="197"/>
      <c r="AK283" s="198"/>
      <c r="AL283" s="164"/>
      <c r="AM283" s="164"/>
      <c r="AN283" s="164"/>
      <c r="AO283" s="164"/>
      <c r="AP283" s="164"/>
      <c r="AQ283" s="164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</row>
    <row r="284" spans="2:55" s="29" customFormat="1" ht="21" customHeight="1" x14ac:dyDescent="0.3">
      <c r="B284" s="161"/>
      <c r="C284" s="162"/>
      <c r="D284" s="162"/>
      <c r="E284" s="163"/>
      <c r="F284" s="192"/>
      <c r="G284" s="192"/>
      <c r="H284" s="192"/>
      <c r="I284" s="192"/>
      <c r="J284" s="186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8"/>
      <c r="V284" s="168"/>
      <c r="W284" s="169"/>
      <c r="X284" s="169"/>
      <c r="Y284" s="170"/>
      <c r="Z284" s="193"/>
      <c r="AA284" s="194"/>
      <c r="AB284" s="194"/>
      <c r="AC284" s="194"/>
      <c r="AD284" s="194"/>
      <c r="AE284" s="194"/>
      <c r="AF284" s="194"/>
      <c r="AG284" s="194"/>
      <c r="AH284" s="194"/>
      <c r="AI284" s="194"/>
      <c r="AJ284" s="194"/>
      <c r="AK284" s="195"/>
      <c r="AL284" s="164"/>
      <c r="AM284" s="164"/>
      <c r="AN284" s="164"/>
      <c r="AO284" s="164"/>
      <c r="AP284" s="164"/>
      <c r="AQ284" s="164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</row>
    <row r="285" spans="2:55" s="29" customFormat="1" ht="21" customHeight="1" x14ac:dyDescent="0.3">
      <c r="B285" s="161"/>
      <c r="C285" s="162"/>
      <c r="D285" s="162"/>
      <c r="E285" s="163"/>
      <c r="F285" s="192"/>
      <c r="G285" s="192"/>
      <c r="H285" s="192"/>
      <c r="I285" s="192"/>
      <c r="J285" s="186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8"/>
      <c r="V285" s="168"/>
      <c r="W285" s="169"/>
      <c r="X285" s="169"/>
      <c r="Y285" s="170"/>
      <c r="Z285" s="193"/>
      <c r="AA285" s="194"/>
      <c r="AB285" s="194"/>
      <c r="AC285" s="194"/>
      <c r="AD285" s="194"/>
      <c r="AE285" s="194"/>
      <c r="AF285" s="194"/>
      <c r="AG285" s="194"/>
      <c r="AH285" s="194"/>
      <c r="AI285" s="194"/>
      <c r="AJ285" s="194"/>
      <c r="AK285" s="195"/>
      <c r="AL285" s="164"/>
      <c r="AM285" s="164"/>
      <c r="AN285" s="164"/>
      <c r="AO285" s="164"/>
      <c r="AP285" s="164"/>
      <c r="AQ285" s="164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</row>
    <row r="286" spans="2:55" s="29" customFormat="1" ht="21" customHeight="1" x14ac:dyDescent="0.3">
      <c r="B286" s="161"/>
      <c r="C286" s="162"/>
      <c r="D286" s="162"/>
      <c r="E286" s="163"/>
      <c r="F286" s="192"/>
      <c r="G286" s="192"/>
      <c r="H286" s="192"/>
      <c r="I286" s="192"/>
      <c r="J286" s="186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8"/>
      <c r="V286" s="168"/>
      <c r="W286" s="169"/>
      <c r="X286" s="169"/>
      <c r="Y286" s="170"/>
      <c r="Z286" s="193"/>
      <c r="AA286" s="194"/>
      <c r="AB286" s="194"/>
      <c r="AC286" s="194"/>
      <c r="AD286" s="194"/>
      <c r="AE286" s="194"/>
      <c r="AF286" s="194"/>
      <c r="AG286" s="194"/>
      <c r="AH286" s="194"/>
      <c r="AI286" s="194"/>
      <c r="AJ286" s="194"/>
      <c r="AK286" s="195"/>
      <c r="AL286" s="164"/>
      <c r="AM286" s="164"/>
      <c r="AN286" s="164"/>
      <c r="AO286" s="164"/>
      <c r="AP286" s="164"/>
      <c r="AQ286" s="164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</row>
    <row r="287" spans="2:55" s="29" customFormat="1" ht="21" customHeight="1" x14ac:dyDescent="0.3">
      <c r="B287" s="161"/>
      <c r="C287" s="162"/>
      <c r="D287" s="162"/>
      <c r="E287" s="163"/>
      <c r="F287" s="192"/>
      <c r="G287" s="192"/>
      <c r="H287" s="192"/>
      <c r="I287" s="192"/>
      <c r="J287" s="186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8"/>
      <c r="V287" s="168"/>
      <c r="W287" s="169"/>
      <c r="X287" s="169"/>
      <c r="Y287" s="170"/>
      <c r="Z287" s="193"/>
      <c r="AA287" s="194"/>
      <c r="AB287" s="194"/>
      <c r="AC287" s="194"/>
      <c r="AD287" s="194"/>
      <c r="AE287" s="194"/>
      <c r="AF287" s="194"/>
      <c r="AG287" s="194"/>
      <c r="AH287" s="194"/>
      <c r="AI287" s="194"/>
      <c r="AJ287" s="194"/>
      <c r="AK287" s="195"/>
      <c r="AL287" s="164"/>
      <c r="AM287" s="164"/>
      <c r="AN287" s="164"/>
      <c r="AO287" s="164"/>
      <c r="AP287" s="164"/>
      <c r="AQ287" s="164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</row>
    <row r="288" spans="2:55" s="29" customFormat="1" ht="21" customHeight="1" x14ac:dyDescent="0.3">
      <c r="B288" s="161"/>
      <c r="C288" s="162"/>
      <c r="D288" s="162"/>
      <c r="E288" s="163"/>
      <c r="F288" s="192"/>
      <c r="G288" s="192"/>
      <c r="H288" s="192"/>
      <c r="I288" s="192"/>
      <c r="J288" s="186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8"/>
      <c r="V288" s="168"/>
      <c r="W288" s="169"/>
      <c r="X288" s="169"/>
      <c r="Y288" s="170"/>
      <c r="Z288" s="193"/>
      <c r="AA288" s="194"/>
      <c r="AB288" s="194"/>
      <c r="AC288" s="194"/>
      <c r="AD288" s="194"/>
      <c r="AE288" s="194"/>
      <c r="AF288" s="194"/>
      <c r="AG288" s="194"/>
      <c r="AH288" s="194"/>
      <c r="AI288" s="194"/>
      <c r="AJ288" s="194"/>
      <c r="AK288" s="195"/>
      <c r="AL288" s="164"/>
      <c r="AM288" s="164"/>
      <c r="AN288" s="164"/>
      <c r="AO288" s="164"/>
      <c r="AP288" s="164"/>
      <c r="AQ288" s="164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</row>
    <row r="289" spans="2:55" s="29" customFormat="1" ht="21" customHeight="1" x14ac:dyDescent="0.3">
      <c r="B289" s="161"/>
      <c r="C289" s="162"/>
      <c r="D289" s="162"/>
      <c r="E289" s="163"/>
      <c r="F289" s="192"/>
      <c r="G289" s="192"/>
      <c r="H289" s="192"/>
      <c r="I289" s="192"/>
      <c r="J289" s="186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8"/>
      <c r="V289" s="168"/>
      <c r="W289" s="169"/>
      <c r="X289" s="169"/>
      <c r="Y289" s="170"/>
      <c r="Z289" s="193"/>
      <c r="AA289" s="194"/>
      <c r="AB289" s="194"/>
      <c r="AC289" s="194"/>
      <c r="AD289" s="194"/>
      <c r="AE289" s="194"/>
      <c r="AF289" s="194"/>
      <c r="AG289" s="194"/>
      <c r="AH289" s="194"/>
      <c r="AI289" s="194"/>
      <c r="AJ289" s="194"/>
      <c r="AK289" s="195"/>
      <c r="AL289" s="164"/>
      <c r="AM289" s="164"/>
      <c r="AN289" s="164"/>
      <c r="AO289" s="164"/>
      <c r="AP289" s="164"/>
      <c r="AQ289" s="164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</row>
    <row r="290" spans="2:55" s="29" customFormat="1" ht="21" customHeight="1" x14ac:dyDescent="0.3">
      <c r="B290" s="161"/>
      <c r="C290" s="162"/>
      <c r="D290" s="162"/>
      <c r="E290" s="163"/>
      <c r="F290" s="192"/>
      <c r="G290" s="192"/>
      <c r="H290" s="192"/>
      <c r="I290" s="192"/>
      <c r="J290" s="189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1"/>
      <c r="V290" s="171"/>
      <c r="W290" s="172"/>
      <c r="X290" s="172"/>
      <c r="Y290" s="173"/>
      <c r="Z290" s="199"/>
      <c r="AA290" s="200"/>
      <c r="AB290" s="200"/>
      <c r="AC290" s="200"/>
      <c r="AD290" s="200"/>
      <c r="AE290" s="200"/>
      <c r="AF290" s="200"/>
      <c r="AG290" s="200"/>
      <c r="AH290" s="200"/>
      <c r="AI290" s="200"/>
      <c r="AJ290" s="200"/>
      <c r="AK290" s="201"/>
      <c r="AL290" s="164"/>
      <c r="AM290" s="164"/>
      <c r="AN290" s="164"/>
      <c r="AO290" s="164"/>
      <c r="AP290" s="164"/>
      <c r="AQ290" s="164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</row>
    <row r="291" spans="2:55" s="29" customFormat="1" ht="21" customHeight="1" x14ac:dyDescent="0.3">
      <c r="B291" s="161"/>
      <c r="C291" s="162"/>
      <c r="D291" s="162"/>
      <c r="E291" s="163"/>
      <c r="F291" s="192"/>
      <c r="G291" s="192"/>
      <c r="H291" s="192"/>
      <c r="I291" s="192"/>
      <c r="J291" s="183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5"/>
      <c r="V291" s="165"/>
      <c r="W291" s="166"/>
      <c r="X291" s="166"/>
      <c r="Y291" s="167"/>
      <c r="Z291" s="196"/>
      <c r="AA291" s="197"/>
      <c r="AB291" s="197"/>
      <c r="AC291" s="197"/>
      <c r="AD291" s="197"/>
      <c r="AE291" s="197"/>
      <c r="AF291" s="197"/>
      <c r="AG291" s="197"/>
      <c r="AH291" s="197"/>
      <c r="AI291" s="197"/>
      <c r="AJ291" s="197"/>
      <c r="AK291" s="198"/>
      <c r="AL291" s="164"/>
      <c r="AM291" s="164"/>
      <c r="AN291" s="164"/>
      <c r="AO291" s="164"/>
      <c r="AP291" s="164"/>
      <c r="AQ291" s="164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</row>
    <row r="292" spans="2:55" s="29" customFormat="1" ht="21" customHeight="1" x14ac:dyDescent="0.3">
      <c r="B292" s="161"/>
      <c r="C292" s="162"/>
      <c r="D292" s="162"/>
      <c r="E292" s="163"/>
      <c r="F292" s="192"/>
      <c r="G292" s="192"/>
      <c r="H292" s="192"/>
      <c r="I292" s="192"/>
      <c r="J292" s="186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8"/>
      <c r="V292" s="168"/>
      <c r="W292" s="169"/>
      <c r="X292" s="169"/>
      <c r="Y292" s="170"/>
      <c r="Z292" s="193"/>
      <c r="AA292" s="194"/>
      <c r="AB292" s="194"/>
      <c r="AC292" s="194"/>
      <c r="AD292" s="194"/>
      <c r="AE292" s="194"/>
      <c r="AF292" s="194"/>
      <c r="AG292" s="194"/>
      <c r="AH292" s="194"/>
      <c r="AI292" s="194"/>
      <c r="AJ292" s="194"/>
      <c r="AK292" s="195"/>
      <c r="AL292" s="164"/>
      <c r="AM292" s="164"/>
      <c r="AN292" s="164"/>
      <c r="AO292" s="164"/>
      <c r="AP292" s="164"/>
      <c r="AQ292" s="164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</row>
    <row r="293" spans="2:55" s="29" customFormat="1" ht="21" customHeight="1" x14ac:dyDescent="0.3">
      <c r="B293" s="161"/>
      <c r="C293" s="162"/>
      <c r="D293" s="162"/>
      <c r="E293" s="163"/>
      <c r="F293" s="192"/>
      <c r="G293" s="192"/>
      <c r="H293" s="192"/>
      <c r="I293" s="192"/>
      <c r="J293" s="186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8"/>
      <c r="V293" s="168"/>
      <c r="W293" s="169"/>
      <c r="X293" s="169"/>
      <c r="Y293" s="170"/>
      <c r="Z293" s="193"/>
      <c r="AA293" s="194"/>
      <c r="AB293" s="194"/>
      <c r="AC293" s="194"/>
      <c r="AD293" s="194"/>
      <c r="AE293" s="194"/>
      <c r="AF293" s="194"/>
      <c r="AG293" s="194"/>
      <c r="AH293" s="194"/>
      <c r="AI293" s="194"/>
      <c r="AJ293" s="194"/>
      <c r="AK293" s="195"/>
      <c r="AL293" s="164"/>
      <c r="AM293" s="164"/>
      <c r="AN293" s="164"/>
      <c r="AO293" s="164"/>
      <c r="AP293" s="164"/>
      <c r="AQ293" s="164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</row>
    <row r="294" spans="2:55" s="29" customFormat="1" ht="21" customHeight="1" x14ac:dyDescent="0.3">
      <c r="B294" s="161"/>
      <c r="C294" s="162"/>
      <c r="D294" s="162"/>
      <c r="E294" s="163"/>
      <c r="F294" s="192"/>
      <c r="G294" s="192"/>
      <c r="H294" s="192"/>
      <c r="I294" s="192"/>
      <c r="J294" s="186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8"/>
      <c r="V294" s="168"/>
      <c r="W294" s="169"/>
      <c r="X294" s="169"/>
      <c r="Y294" s="170"/>
      <c r="Z294" s="193"/>
      <c r="AA294" s="194"/>
      <c r="AB294" s="194"/>
      <c r="AC294" s="194"/>
      <c r="AD294" s="194"/>
      <c r="AE294" s="194"/>
      <c r="AF294" s="194"/>
      <c r="AG294" s="194"/>
      <c r="AH294" s="194"/>
      <c r="AI294" s="194"/>
      <c r="AJ294" s="194"/>
      <c r="AK294" s="195"/>
      <c r="AL294" s="164"/>
      <c r="AM294" s="164"/>
      <c r="AN294" s="164"/>
      <c r="AO294" s="164"/>
      <c r="AP294" s="164"/>
      <c r="AQ294" s="164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</row>
    <row r="295" spans="2:55" s="29" customFormat="1" ht="21" customHeight="1" x14ac:dyDescent="0.3">
      <c r="B295" s="161"/>
      <c r="C295" s="162"/>
      <c r="D295" s="162"/>
      <c r="E295" s="163"/>
      <c r="F295" s="192"/>
      <c r="G295" s="192"/>
      <c r="H295" s="192"/>
      <c r="I295" s="192"/>
      <c r="J295" s="186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8"/>
      <c r="V295" s="168"/>
      <c r="W295" s="169"/>
      <c r="X295" s="169"/>
      <c r="Y295" s="170"/>
      <c r="Z295" s="193"/>
      <c r="AA295" s="194"/>
      <c r="AB295" s="194"/>
      <c r="AC295" s="194"/>
      <c r="AD295" s="194"/>
      <c r="AE295" s="194"/>
      <c r="AF295" s="194"/>
      <c r="AG295" s="194"/>
      <c r="AH295" s="194"/>
      <c r="AI295" s="194"/>
      <c r="AJ295" s="194"/>
      <c r="AK295" s="195"/>
      <c r="AL295" s="164"/>
      <c r="AM295" s="164"/>
      <c r="AN295" s="164"/>
      <c r="AO295" s="164"/>
      <c r="AP295" s="164"/>
      <c r="AQ295" s="164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</row>
    <row r="296" spans="2:55" s="29" customFormat="1" ht="21" customHeight="1" x14ac:dyDescent="0.3">
      <c r="B296" s="161"/>
      <c r="C296" s="162"/>
      <c r="D296" s="162"/>
      <c r="E296" s="163"/>
      <c r="F296" s="192"/>
      <c r="G296" s="192"/>
      <c r="H296" s="192"/>
      <c r="I296" s="192"/>
      <c r="J296" s="186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8"/>
      <c r="V296" s="168"/>
      <c r="W296" s="169"/>
      <c r="X296" s="169"/>
      <c r="Y296" s="170"/>
      <c r="Z296" s="193"/>
      <c r="AA296" s="194"/>
      <c r="AB296" s="194"/>
      <c r="AC296" s="194"/>
      <c r="AD296" s="194"/>
      <c r="AE296" s="194"/>
      <c r="AF296" s="194"/>
      <c r="AG296" s="194"/>
      <c r="AH296" s="194"/>
      <c r="AI296" s="194"/>
      <c r="AJ296" s="194"/>
      <c r="AK296" s="195"/>
      <c r="AL296" s="164"/>
      <c r="AM296" s="164"/>
      <c r="AN296" s="164"/>
      <c r="AO296" s="164"/>
      <c r="AP296" s="164"/>
      <c r="AQ296" s="164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</row>
    <row r="297" spans="2:55" s="29" customFormat="1" ht="21" customHeight="1" x14ac:dyDescent="0.3">
      <c r="B297" s="161"/>
      <c r="C297" s="162"/>
      <c r="D297" s="162"/>
      <c r="E297" s="163"/>
      <c r="F297" s="192"/>
      <c r="G297" s="192"/>
      <c r="H297" s="192"/>
      <c r="I297" s="192"/>
      <c r="J297" s="186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8"/>
      <c r="V297" s="168"/>
      <c r="W297" s="169"/>
      <c r="X297" s="169"/>
      <c r="Y297" s="170"/>
      <c r="Z297" s="193"/>
      <c r="AA297" s="194"/>
      <c r="AB297" s="194"/>
      <c r="AC297" s="194"/>
      <c r="AD297" s="194"/>
      <c r="AE297" s="194"/>
      <c r="AF297" s="194"/>
      <c r="AG297" s="194"/>
      <c r="AH297" s="194"/>
      <c r="AI297" s="194"/>
      <c r="AJ297" s="194"/>
      <c r="AK297" s="195"/>
      <c r="AL297" s="164"/>
      <c r="AM297" s="164"/>
      <c r="AN297" s="164"/>
      <c r="AO297" s="164"/>
      <c r="AP297" s="164"/>
      <c r="AQ297" s="164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</row>
    <row r="298" spans="2:55" s="29" customFormat="1" ht="21" customHeight="1" x14ac:dyDescent="0.3">
      <c r="B298" s="161"/>
      <c r="C298" s="162"/>
      <c r="D298" s="162"/>
      <c r="E298" s="163"/>
      <c r="F298" s="192"/>
      <c r="G298" s="192"/>
      <c r="H298" s="192"/>
      <c r="I298" s="192"/>
      <c r="J298" s="189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1"/>
      <c r="V298" s="171"/>
      <c r="W298" s="172"/>
      <c r="X298" s="172"/>
      <c r="Y298" s="173"/>
      <c r="Z298" s="199"/>
      <c r="AA298" s="200"/>
      <c r="AB298" s="200"/>
      <c r="AC298" s="200"/>
      <c r="AD298" s="200"/>
      <c r="AE298" s="200"/>
      <c r="AF298" s="200"/>
      <c r="AG298" s="200"/>
      <c r="AH298" s="200"/>
      <c r="AI298" s="200"/>
      <c r="AJ298" s="200"/>
      <c r="AK298" s="201"/>
      <c r="AL298" s="164"/>
      <c r="AM298" s="164"/>
      <c r="AN298" s="164"/>
      <c r="AO298" s="164"/>
      <c r="AP298" s="164"/>
      <c r="AQ298" s="164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</row>
    <row r="299" spans="2:55" s="29" customFormat="1" ht="21" customHeight="1" x14ac:dyDescent="0.3">
      <c r="B299" s="161"/>
      <c r="C299" s="162"/>
      <c r="D299" s="162"/>
      <c r="E299" s="163"/>
      <c r="F299" s="192"/>
      <c r="G299" s="192"/>
      <c r="H299" s="192"/>
      <c r="I299" s="192"/>
      <c r="J299" s="174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6"/>
      <c r="V299" s="165"/>
      <c r="W299" s="166"/>
      <c r="X299" s="166"/>
      <c r="Y299" s="167"/>
      <c r="Z299" s="196"/>
      <c r="AA299" s="197"/>
      <c r="AB299" s="197"/>
      <c r="AC299" s="197"/>
      <c r="AD299" s="197"/>
      <c r="AE299" s="197"/>
      <c r="AF299" s="197"/>
      <c r="AG299" s="197"/>
      <c r="AH299" s="197"/>
      <c r="AI299" s="197"/>
      <c r="AJ299" s="197"/>
      <c r="AK299" s="198"/>
      <c r="AL299" s="164"/>
      <c r="AM299" s="164"/>
      <c r="AN299" s="164"/>
      <c r="AO299" s="164"/>
      <c r="AP299" s="164"/>
      <c r="AQ299" s="164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</row>
    <row r="300" spans="2:55" s="29" customFormat="1" ht="21" customHeight="1" x14ac:dyDescent="0.3">
      <c r="B300" s="161"/>
      <c r="C300" s="162"/>
      <c r="D300" s="162"/>
      <c r="E300" s="163"/>
      <c r="F300" s="192"/>
      <c r="G300" s="192"/>
      <c r="H300" s="192"/>
      <c r="I300" s="192"/>
      <c r="J300" s="177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9"/>
      <c r="V300" s="168"/>
      <c r="W300" s="169"/>
      <c r="X300" s="169"/>
      <c r="Y300" s="170"/>
      <c r="Z300" s="193"/>
      <c r="AA300" s="194"/>
      <c r="AB300" s="194"/>
      <c r="AC300" s="194"/>
      <c r="AD300" s="194"/>
      <c r="AE300" s="194"/>
      <c r="AF300" s="194"/>
      <c r="AG300" s="194"/>
      <c r="AH300" s="194"/>
      <c r="AI300" s="194"/>
      <c r="AJ300" s="194"/>
      <c r="AK300" s="195"/>
      <c r="AL300" s="164"/>
      <c r="AM300" s="164"/>
      <c r="AN300" s="164"/>
      <c r="AO300" s="164"/>
      <c r="AP300" s="164"/>
      <c r="AQ300" s="164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</row>
    <row r="301" spans="2:55" s="29" customFormat="1" ht="21" customHeight="1" x14ac:dyDescent="0.3">
      <c r="B301" s="161"/>
      <c r="C301" s="162"/>
      <c r="D301" s="162"/>
      <c r="E301" s="163"/>
      <c r="F301" s="192"/>
      <c r="G301" s="192"/>
      <c r="H301" s="192"/>
      <c r="I301" s="192"/>
      <c r="J301" s="177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9"/>
      <c r="V301" s="168"/>
      <c r="W301" s="169"/>
      <c r="X301" s="169"/>
      <c r="Y301" s="170"/>
      <c r="Z301" s="193"/>
      <c r="AA301" s="194"/>
      <c r="AB301" s="194"/>
      <c r="AC301" s="194"/>
      <c r="AD301" s="194"/>
      <c r="AE301" s="194"/>
      <c r="AF301" s="194"/>
      <c r="AG301" s="194"/>
      <c r="AH301" s="194"/>
      <c r="AI301" s="194"/>
      <c r="AJ301" s="194"/>
      <c r="AK301" s="195"/>
      <c r="AL301" s="164"/>
      <c r="AM301" s="164"/>
      <c r="AN301" s="164"/>
      <c r="AO301" s="164"/>
      <c r="AP301" s="164"/>
      <c r="AQ301" s="164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</row>
    <row r="302" spans="2:55" s="29" customFormat="1" ht="21" customHeight="1" x14ac:dyDescent="0.3">
      <c r="B302" s="161"/>
      <c r="C302" s="162"/>
      <c r="D302" s="162"/>
      <c r="E302" s="163"/>
      <c r="F302" s="192"/>
      <c r="G302" s="192"/>
      <c r="H302" s="192"/>
      <c r="I302" s="192"/>
      <c r="J302" s="177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9"/>
      <c r="V302" s="168"/>
      <c r="W302" s="169"/>
      <c r="X302" s="169"/>
      <c r="Y302" s="170"/>
      <c r="Z302" s="193"/>
      <c r="AA302" s="194"/>
      <c r="AB302" s="194"/>
      <c r="AC302" s="194"/>
      <c r="AD302" s="194"/>
      <c r="AE302" s="194"/>
      <c r="AF302" s="194"/>
      <c r="AG302" s="194"/>
      <c r="AH302" s="194"/>
      <c r="AI302" s="194"/>
      <c r="AJ302" s="194"/>
      <c r="AK302" s="195"/>
      <c r="AL302" s="164"/>
      <c r="AM302" s="164"/>
      <c r="AN302" s="164"/>
      <c r="AO302" s="164"/>
      <c r="AP302" s="164"/>
      <c r="AQ302" s="164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</row>
    <row r="303" spans="2:55" s="29" customFormat="1" ht="21" customHeight="1" x14ac:dyDescent="0.3">
      <c r="B303" s="161"/>
      <c r="C303" s="162"/>
      <c r="D303" s="162"/>
      <c r="E303" s="163"/>
      <c r="F303" s="192"/>
      <c r="G303" s="192"/>
      <c r="H303" s="192"/>
      <c r="I303" s="192"/>
      <c r="J303" s="177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9"/>
      <c r="V303" s="168"/>
      <c r="W303" s="169"/>
      <c r="X303" s="169"/>
      <c r="Y303" s="170"/>
      <c r="Z303" s="193"/>
      <c r="AA303" s="194"/>
      <c r="AB303" s="194"/>
      <c r="AC303" s="194"/>
      <c r="AD303" s="194"/>
      <c r="AE303" s="194"/>
      <c r="AF303" s="194"/>
      <c r="AG303" s="194"/>
      <c r="AH303" s="194"/>
      <c r="AI303" s="194"/>
      <c r="AJ303" s="194"/>
      <c r="AK303" s="195"/>
      <c r="AL303" s="164"/>
      <c r="AM303" s="164"/>
      <c r="AN303" s="164"/>
      <c r="AO303" s="164"/>
      <c r="AP303" s="164"/>
      <c r="AQ303" s="164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</row>
    <row r="304" spans="2:55" s="29" customFormat="1" ht="21" customHeight="1" x14ac:dyDescent="0.3">
      <c r="B304" s="161"/>
      <c r="C304" s="162"/>
      <c r="D304" s="162"/>
      <c r="E304" s="163"/>
      <c r="F304" s="192"/>
      <c r="G304" s="192"/>
      <c r="H304" s="192"/>
      <c r="I304" s="192"/>
      <c r="J304" s="177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9"/>
      <c r="V304" s="168"/>
      <c r="W304" s="169"/>
      <c r="X304" s="169"/>
      <c r="Y304" s="170"/>
      <c r="Z304" s="193"/>
      <c r="AA304" s="194"/>
      <c r="AB304" s="194"/>
      <c r="AC304" s="194"/>
      <c r="AD304" s="194"/>
      <c r="AE304" s="194"/>
      <c r="AF304" s="194"/>
      <c r="AG304" s="194"/>
      <c r="AH304" s="194"/>
      <c r="AI304" s="194"/>
      <c r="AJ304" s="194"/>
      <c r="AK304" s="195"/>
      <c r="AL304" s="164"/>
      <c r="AM304" s="164"/>
      <c r="AN304" s="164"/>
      <c r="AO304" s="164"/>
      <c r="AP304" s="164"/>
      <c r="AQ304" s="164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</row>
    <row r="305" spans="2:55" s="29" customFormat="1" ht="21" customHeight="1" x14ac:dyDescent="0.3">
      <c r="B305" s="161"/>
      <c r="C305" s="162"/>
      <c r="D305" s="162"/>
      <c r="E305" s="163"/>
      <c r="F305" s="192"/>
      <c r="G305" s="192"/>
      <c r="H305" s="192"/>
      <c r="I305" s="192"/>
      <c r="J305" s="177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9"/>
      <c r="V305" s="168"/>
      <c r="W305" s="169"/>
      <c r="X305" s="169"/>
      <c r="Y305" s="170"/>
      <c r="Z305" s="193"/>
      <c r="AA305" s="194"/>
      <c r="AB305" s="194"/>
      <c r="AC305" s="194"/>
      <c r="AD305" s="194"/>
      <c r="AE305" s="194"/>
      <c r="AF305" s="194"/>
      <c r="AG305" s="194"/>
      <c r="AH305" s="194"/>
      <c r="AI305" s="194"/>
      <c r="AJ305" s="194"/>
      <c r="AK305" s="195"/>
      <c r="AL305" s="164"/>
      <c r="AM305" s="164"/>
      <c r="AN305" s="164"/>
      <c r="AO305" s="164"/>
      <c r="AP305" s="164"/>
      <c r="AQ305" s="164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</row>
    <row r="306" spans="2:55" s="29" customFormat="1" ht="21" customHeight="1" x14ac:dyDescent="0.3">
      <c r="B306" s="161"/>
      <c r="C306" s="162"/>
      <c r="D306" s="162"/>
      <c r="E306" s="163"/>
      <c r="F306" s="192"/>
      <c r="G306" s="192"/>
      <c r="H306" s="192"/>
      <c r="I306" s="192"/>
      <c r="J306" s="180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2"/>
      <c r="V306" s="171"/>
      <c r="W306" s="172"/>
      <c r="X306" s="172"/>
      <c r="Y306" s="173"/>
      <c r="Z306" s="199"/>
      <c r="AA306" s="200"/>
      <c r="AB306" s="200"/>
      <c r="AC306" s="200"/>
      <c r="AD306" s="200"/>
      <c r="AE306" s="200"/>
      <c r="AF306" s="200"/>
      <c r="AG306" s="200"/>
      <c r="AH306" s="200"/>
      <c r="AI306" s="200"/>
      <c r="AJ306" s="200"/>
      <c r="AK306" s="201"/>
      <c r="AL306" s="164"/>
      <c r="AM306" s="164"/>
      <c r="AN306" s="164"/>
      <c r="AO306" s="164"/>
      <c r="AP306" s="164"/>
      <c r="AQ306" s="164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</row>
    <row r="307" spans="2:55" s="29" customFormat="1" ht="21" customHeight="1" x14ac:dyDescent="0.3">
      <c r="B307" s="161"/>
      <c r="C307" s="162"/>
      <c r="D307" s="162"/>
      <c r="E307" s="163"/>
      <c r="F307" s="192"/>
      <c r="G307" s="192"/>
      <c r="H307" s="192"/>
      <c r="I307" s="192"/>
      <c r="J307" s="183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5"/>
      <c r="V307" s="165"/>
      <c r="W307" s="166"/>
      <c r="X307" s="166"/>
      <c r="Y307" s="167"/>
      <c r="Z307" s="196"/>
      <c r="AA307" s="197"/>
      <c r="AB307" s="197"/>
      <c r="AC307" s="197"/>
      <c r="AD307" s="197"/>
      <c r="AE307" s="197"/>
      <c r="AF307" s="197"/>
      <c r="AG307" s="197"/>
      <c r="AH307" s="197"/>
      <c r="AI307" s="197"/>
      <c r="AJ307" s="197"/>
      <c r="AK307" s="198"/>
      <c r="AL307" s="164"/>
      <c r="AM307" s="164"/>
      <c r="AN307" s="164"/>
      <c r="AO307" s="164"/>
      <c r="AP307" s="164"/>
      <c r="AQ307" s="164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</row>
    <row r="308" spans="2:55" s="29" customFormat="1" ht="21" customHeight="1" x14ac:dyDescent="0.3">
      <c r="B308" s="161"/>
      <c r="C308" s="162"/>
      <c r="D308" s="162"/>
      <c r="E308" s="163"/>
      <c r="F308" s="192"/>
      <c r="G308" s="192"/>
      <c r="H308" s="192"/>
      <c r="I308" s="192"/>
      <c r="J308" s="186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8"/>
      <c r="V308" s="168"/>
      <c r="W308" s="169"/>
      <c r="X308" s="169"/>
      <c r="Y308" s="170"/>
      <c r="Z308" s="193"/>
      <c r="AA308" s="194"/>
      <c r="AB308" s="194"/>
      <c r="AC308" s="194"/>
      <c r="AD308" s="194"/>
      <c r="AE308" s="194"/>
      <c r="AF308" s="194"/>
      <c r="AG308" s="194"/>
      <c r="AH308" s="194"/>
      <c r="AI308" s="194"/>
      <c r="AJ308" s="194"/>
      <c r="AK308" s="195"/>
      <c r="AL308" s="164"/>
      <c r="AM308" s="164"/>
      <c r="AN308" s="164"/>
      <c r="AO308" s="164"/>
      <c r="AP308" s="164"/>
      <c r="AQ308" s="164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</row>
    <row r="309" spans="2:55" s="29" customFormat="1" ht="21" customHeight="1" x14ac:dyDescent="0.3">
      <c r="B309" s="161"/>
      <c r="C309" s="162"/>
      <c r="D309" s="162"/>
      <c r="E309" s="163"/>
      <c r="F309" s="192"/>
      <c r="G309" s="192"/>
      <c r="H309" s="192"/>
      <c r="I309" s="192"/>
      <c r="J309" s="186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8"/>
      <c r="V309" s="168"/>
      <c r="W309" s="169"/>
      <c r="X309" s="169"/>
      <c r="Y309" s="170"/>
      <c r="Z309" s="193"/>
      <c r="AA309" s="194"/>
      <c r="AB309" s="194"/>
      <c r="AC309" s="194"/>
      <c r="AD309" s="194"/>
      <c r="AE309" s="194"/>
      <c r="AF309" s="194"/>
      <c r="AG309" s="194"/>
      <c r="AH309" s="194"/>
      <c r="AI309" s="194"/>
      <c r="AJ309" s="194"/>
      <c r="AK309" s="195"/>
      <c r="AL309" s="164"/>
      <c r="AM309" s="164"/>
      <c r="AN309" s="164"/>
      <c r="AO309" s="164"/>
      <c r="AP309" s="164"/>
      <c r="AQ309" s="164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</row>
    <row r="310" spans="2:55" s="29" customFormat="1" ht="21" customHeight="1" x14ac:dyDescent="0.3">
      <c r="B310" s="161"/>
      <c r="C310" s="162"/>
      <c r="D310" s="162"/>
      <c r="E310" s="163"/>
      <c r="F310" s="192"/>
      <c r="G310" s="192"/>
      <c r="H310" s="192"/>
      <c r="I310" s="192"/>
      <c r="J310" s="186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8"/>
      <c r="V310" s="168"/>
      <c r="W310" s="169"/>
      <c r="X310" s="169"/>
      <c r="Y310" s="170"/>
      <c r="Z310" s="193"/>
      <c r="AA310" s="194"/>
      <c r="AB310" s="194"/>
      <c r="AC310" s="194"/>
      <c r="AD310" s="194"/>
      <c r="AE310" s="194"/>
      <c r="AF310" s="194"/>
      <c r="AG310" s="194"/>
      <c r="AH310" s="194"/>
      <c r="AI310" s="194"/>
      <c r="AJ310" s="194"/>
      <c r="AK310" s="195"/>
      <c r="AL310" s="164"/>
      <c r="AM310" s="164"/>
      <c r="AN310" s="164"/>
      <c r="AO310" s="164"/>
      <c r="AP310" s="164"/>
      <c r="AQ310" s="164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</row>
    <row r="311" spans="2:55" s="29" customFormat="1" ht="21" customHeight="1" x14ac:dyDescent="0.3">
      <c r="B311" s="161"/>
      <c r="C311" s="162"/>
      <c r="D311" s="162"/>
      <c r="E311" s="163"/>
      <c r="F311" s="192"/>
      <c r="G311" s="192"/>
      <c r="H311" s="192"/>
      <c r="I311" s="192"/>
      <c r="J311" s="186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8"/>
      <c r="V311" s="168"/>
      <c r="W311" s="169"/>
      <c r="X311" s="169"/>
      <c r="Y311" s="170"/>
      <c r="Z311" s="193"/>
      <c r="AA311" s="194"/>
      <c r="AB311" s="194"/>
      <c r="AC311" s="194"/>
      <c r="AD311" s="194"/>
      <c r="AE311" s="194"/>
      <c r="AF311" s="194"/>
      <c r="AG311" s="194"/>
      <c r="AH311" s="194"/>
      <c r="AI311" s="194"/>
      <c r="AJ311" s="194"/>
      <c r="AK311" s="195"/>
      <c r="AL311" s="164"/>
      <c r="AM311" s="164"/>
      <c r="AN311" s="164"/>
      <c r="AO311" s="164"/>
      <c r="AP311" s="164"/>
      <c r="AQ311" s="164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</row>
    <row r="312" spans="2:55" s="29" customFormat="1" ht="21" customHeight="1" x14ac:dyDescent="0.3">
      <c r="B312" s="161"/>
      <c r="C312" s="162"/>
      <c r="D312" s="162"/>
      <c r="E312" s="163"/>
      <c r="F312" s="192"/>
      <c r="G312" s="192"/>
      <c r="H312" s="192"/>
      <c r="I312" s="192"/>
      <c r="J312" s="186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8"/>
      <c r="V312" s="168"/>
      <c r="W312" s="169"/>
      <c r="X312" s="169"/>
      <c r="Y312" s="170"/>
      <c r="Z312" s="193"/>
      <c r="AA312" s="194"/>
      <c r="AB312" s="194"/>
      <c r="AC312" s="194"/>
      <c r="AD312" s="194"/>
      <c r="AE312" s="194"/>
      <c r="AF312" s="194"/>
      <c r="AG312" s="194"/>
      <c r="AH312" s="194"/>
      <c r="AI312" s="194"/>
      <c r="AJ312" s="194"/>
      <c r="AK312" s="195"/>
      <c r="AL312" s="164"/>
      <c r="AM312" s="164"/>
      <c r="AN312" s="164"/>
      <c r="AO312" s="164"/>
      <c r="AP312" s="164"/>
      <c r="AQ312" s="164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</row>
    <row r="313" spans="2:55" s="29" customFormat="1" ht="21" customHeight="1" x14ac:dyDescent="0.3">
      <c r="B313" s="161"/>
      <c r="C313" s="162"/>
      <c r="D313" s="162"/>
      <c r="E313" s="163"/>
      <c r="F313" s="192"/>
      <c r="G313" s="192"/>
      <c r="H313" s="192"/>
      <c r="I313" s="192"/>
      <c r="J313" s="186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8"/>
      <c r="V313" s="168"/>
      <c r="W313" s="169"/>
      <c r="X313" s="169"/>
      <c r="Y313" s="170"/>
      <c r="Z313" s="193"/>
      <c r="AA313" s="194"/>
      <c r="AB313" s="194"/>
      <c r="AC313" s="194"/>
      <c r="AD313" s="194"/>
      <c r="AE313" s="194"/>
      <c r="AF313" s="194"/>
      <c r="AG313" s="194"/>
      <c r="AH313" s="194"/>
      <c r="AI313" s="194"/>
      <c r="AJ313" s="194"/>
      <c r="AK313" s="195"/>
      <c r="AL313" s="164"/>
      <c r="AM313" s="164"/>
      <c r="AN313" s="164"/>
      <c r="AO313" s="164"/>
      <c r="AP313" s="164"/>
      <c r="AQ313" s="164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</row>
    <row r="314" spans="2:55" s="29" customFormat="1" ht="21" customHeight="1" x14ac:dyDescent="0.3">
      <c r="B314" s="161"/>
      <c r="C314" s="162"/>
      <c r="D314" s="162"/>
      <c r="E314" s="163"/>
      <c r="F314" s="192"/>
      <c r="G314" s="192"/>
      <c r="H314" s="192"/>
      <c r="I314" s="192"/>
      <c r="J314" s="189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1"/>
      <c r="V314" s="171"/>
      <c r="W314" s="172"/>
      <c r="X314" s="172"/>
      <c r="Y314" s="173"/>
      <c r="Z314" s="199"/>
      <c r="AA314" s="200"/>
      <c r="AB314" s="200"/>
      <c r="AC314" s="200"/>
      <c r="AD314" s="200"/>
      <c r="AE314" s="200"/>
      <c r="AF314" s="200"/>
      <c r="AG314" s="200"/>
      <c r="AH314" s="200"/>
      <c r="AI314" s="200"/>
      <c r="AJ314" s="200"/>
      <c r="AK314" s="201"/>
      <c r="AL314" s="164"/>
      <c r="AM314" s="164"/>
      <c r="AN314" s="164"/>
      <c r="AO314" s="164"/>
      <c r="AP314" s="164"/>
      <c r="AQ314" s="164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</row>
    <row r="315" spans="2:55" s="29" customFormat="1" ht="21" customHeight="1" x14ac:dyDescent="0.3">
      <c r="B315" s="161"/>
      <c r="C315" s="162"/>
      <c r="D315" s="162"/>
      <c r="E315" s="163"/>
      <c r="F315" s="192"/>
      <c r="G315" s="192"/>
      <c r="H315" s="192"/>
      <c r="I315" s="192"/>
      <c r="J315" s="183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5"/>
      <c r="V315" s="165"/>
      <c r="W315" s="166"/>
      <c r="X315" s="166"/>
      <c r="Y315" s="167"/>
      <c r="Z315" s="196"/>
      <c r="AA315" s="197"/>
      <c r="AB315" s="197"/>
      <c r="AC315" s="197"/>
      <c r="AD315" s="197"/>
      <c r="AE315" s="197"/>
      <c r="AF315" s="197"/>
      <c r="AG315" s="197"/>
      <c r="AH315" s="197"/>
      <c r="AI315" s="197"/>
      <c r="AJ315" s="197"/>
      <c r="AK315" s="198"/>
      <c r="AL315" s="164"/>
      <c r="AM315" s="164"/>
      <c r="AN315" s="164"/>
      <c r="AO315" s="164"/>
      <c r="AP315" s="164"/>
      <c r="AQ315" s="164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</row>
    <row r="316" spans="2:55" s="29" customFormat="1" ht="21" customHeight="1" x14ac:dyDescent="0.3">
      <c r="B316" s="161"/>
      <c r="C316" s="162"/>
      <c r="D316" s="162"/>
      <c r="E316" s="163"/>
      <c r="F316" s="192"/>
      <c r="G316" s="192"/>
      <c r="H316" s="192"/>
      <c r="I316" s="192"/>
      <c r="J316" s="186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8"/>
      <c r="V316" s="168"/>
      <c r="W316" s="169"/>
      <c r="X316" s="169"/>
      <c r="Y316" s="170"/>
      <c r="Z316" s="193"/>
      <c r="AA316" s="194"/>
      <c r="AB316" s="194"/>
      <c r="AC316" s="194"/>
      <c r="AD316" s="194"/>
      <c r="AE316" s="194"/>
      <c r="AF316" s="194"/>
      <c r="AG316" s="194"/>
      <c r="AH316" s="194"/>
      <c r="AI316" s="194"/>
      <c r="AJ316" s="194"/>
      <c r="AK316" s="195"/>
      <c r="AL316" s="164"/>
      <c r="AM316" s="164"/>
      <c r="AN316" s="164"/>
      <c r="AO316" s="164"/>
      <c r="AP316" s="164"/>
      <c r="AQ316" s="164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</row>
    <row r="317" spans="2:55" s="29" customFormat="1" ht="21" customHeight="1" x14ac:dyDescent="0.3">
      <c r="B317" s="161"/>
      <c r="C317" s="162"/>
      <c r="D317" s="162"/>
      <c r="E317" s="163"/>
      <c r="F317" s="192"/>
      <c r="G317" s="192"/>
      <c r="H317" s="192"/>
      <c r="I317" s="192"/>
      <c r="J317" s="186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8"/>
      <c r="V317" s="168"/>
      <c r="W317" s="169"/>
      <c r="X317" s="169"/>
      <c r="Y317" s="170"/>
      <c r="Z317" s="193"/>
      <c r="AA317" s="194"/>
      <c r="AB317" s="194"/>
      <c r="AC317" s="194"/>
      <c r="AD317" s="194"/>
      <c r="AE317" s="194"/>
      <c r="AF317" s="194"/>
      <c r="AG317" s="194"/>
      <c r="AH317" s="194"/>
      <c r="AI317" s="194"/>
      <c r="AJ317" s="194"/>
      <c r="AK317" s="195"/>
      <c r="AL317" s="164"/>
      <c r="AM317" s="164"/>
      <c r="AN317" s="164"/>
      <c r="AO317" s="164"/>
      <c r="AP317" s="164"/>
      <c r="AQ317" s="164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</row>
    <row r="318" spans="2:55" s="29" customFormat="1" ht="21" customHeight="1" x14ac:dyDescent="0.3">
      <c r="B318" s="161"/>
      <c r="C318" s="162"/>
      <c r="D318" s="162"/>
      <c r="E318" s="163"/>
      <c r="F318" s="192"/>
      <c r="G318" s="192"/>
      <c r="H318" s="192"/>
      <c r="I318" s="192"/>
      <c r="J318" s="186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8"/>
      <c r="V318" s="168"/>
      <c r="W318" s="169"/>
      <c r="X318" s="169"/>
      <c r="Y318" s="170"/>
      <c r="Z318" s="193"/>
      <c r="AA318" s="194"/>
      <c r="AB318" s="194"/>
      <c r="AC318" s="194"/>
      <c r="AD318" s="194"/>
      <c r="AE318" s="194"/>
      <c r="AF318" s="194"/>
      <c r="AG318" s="194"/>
      <c r="AH318" s="194"/>
      <c r="AI318" s="194"/>
      <c r="AJ318" s="194"/>
      <c r="AK318" s="195"/>
      <c r="AL318" s="164"/>
      <c r="AM318" s="164"/>
      <c r="AN318" s="164"/>
      <c r="AO318" s="164"/>
      <c r="AP318" s="164"/>
      <c r="AQ318" s="164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</row>
    <row r="319" spans="2:55" s="29" customFormat="1" ht="21" customHeight="1" x14ac:dyDescent="0.3">
      <c r="B319" s="161"/>
      <c r="C319" s="162"/>
      <c r="D319" s="162"/>
      <c r="E319" s="163"/>
      <c r="F319" s="192"/>
      <c r="G319" s="192"/>
      <c r="H319" s="192"/>
      <c r="I319" s="192"/>
      <c r="J319" s="186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8"/>
      <c r="V319" s="168"/>
      <c r="W319" s="169"/>
      <c r="X319" s="169"/>
      <c r="Y319" s="170"/>
      <c r="Z319" s="193"/>
      <c r="AA319" s="194"/>
      <c r="AB319" s="194"/>
      <c r="AC319" s="194"/>
      <c r="AD319" s="194"/>
      <c r="AE319" s="194"/>
      <c r="AF319" s="194"/>
      <c r="AG319" s="194"/>
      <c r="AH319" s="194"/>
      <c r="AI319" s="194"/>
      <c r="AJ319" s="194"/>
      <c r="AK319" s="195"/>
      <c r="AL319" s="164"/>
      <c r="AM319" s="164"/>
      <c r="AN319" s="164"/>
      <c r="AO319" s="164"/>
      <c r="AP319" s="164"/>
      <c r="AQ319" s="164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</row>
    <row r="320" spans="2:55" s="29" customFormat="1" ht="21" customHeight="1" x14ac:dyDescent="0.3">
      <c r="B320" s="161"/>
      <c r="C320" s="162"/>
      <c r="D320" s="162"/>
      <c r="E320" s="163"/>
      <c r="F320" s="192"/>
      <c r="G320" s="192"/>
      <c r="H320" s="192"/>
      <c r="I320" s="192"/>
      <c r="J320" s="186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8"/>
      <c r="V320" s="168"/>
      <c r="W320" s="169"/>
      <c r="X320" s="169"/>
      <c r="Y320" s="170"/>
      <c r="Z320" s="193"/>
      <c r="AA320" s="194"/>
      <c r="AB320" s="194"/>
      <c r="AC320" s="194"/>
      <c r="AD320" s="194"/>
      <c r="AE320" s="194"/>
      <c r="AF320" s="194"/>
      <c r="AG320" s="194"/>
      <c r="AH320" s="194"/>
      <c r="AI320" s="194"/>
      <c r="AJ320" s="194"/>
      <c r="AK320" s="195"/>
      <c r="AL320" s="164"/>
      <c r="AM320" s="164"/>
      <c r="AN320" s="164"/>
      <c r="AO320" s="164"/>
      <c r="AP320" s="164"/>
      <c r="AQ320" s="164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</row>
    <row r="321" spans="2:55" s="29" customFormat="1" ht="21" customHeight="1" x14ac:dyDescent="0.3">
      <c r="B321" s="161"/>
      <c r="C321" s="162"/>
      <c r="D321" s="162"/>
      <c r="E321" s="163"/>
      <c r="F321" s="192"/>
      <c r="G321" s="192"/>
      <c r="H321" s="192"/>
      <c r="I321" s="192"/>
      <c r="J321" s="186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8"/>
      <c r="V321" s="168"/>
      <c r="W321" s="169"/>
      <c r="X321" s="169"/>
      <c r="Y321" s="170"/>
      <c r="Z321" s="193"/>
      <c r="AA321" s="194"/>
      <c r="AB321" s="194"/>
      <c r="AC321" s="194"/>
      <c r="AD321" s="194"/>
      <c r="AE321" s="194"/>
      <c r="AF321" s="194"/>
      <c r="AG321" s="194"/>
      <c r="AH321" s="194"/>
      <c r="AI321" s="194"/>
      <c r="AJ321" s="194"/>
      <c r="AK321" s="195"/>
      <c r="AL321" s="164"/>
      <c r="AM321" s="164"/>
      <c r="AN321" s="164"/>
      <c r="AO321" s="164"/>
      <c r="AP321" s="164"/>
      <c r="AQ321" s="164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</row>
    <row r="322" spans="2:55" s="29" customFormat="1" ht="21" customHeight="1" x14ac:dyDescent="0.3">
      <c r="B322" s="161"/>
      <c r="C322" s="162"/>
      <c r="D322" s="162"/>
      <c r="E322" s="163"/>
      <c r="F322" s="192"/>
      <c r="G322" s="192"/>
      <c r="H322" s="192"/>
      <c r="I322" s="192"/>
      <c r="J322" s="189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1"/>
      <c r="V322" s="171"/>
      <c r="W322" s="172"/>
      <c r="X322" s="172"/>
      <c r="Y322" s="173"/>
      <c r="Z322" s="199"/>
      <c r="AA322" s="200"/>
      <c r="AB322" s="200"/>
      <c r="AC322" s="200"/>
      <c r="AD322" s="200"/>
      <c r="AE322" s="200"/>
      <c r="AF322" s="200"/>
      <c r="AG322" s="200"/>
      <c r="AH322" s="200"/>
      <c r="AI322" s="200"/>
      <c r="AJ322" s="200"/>
      <c r="AK322" s="201"/>
      <c r="AL322" s="164"/>
      <c r="AM322" s="164"/>
      <c r="AN322" s="164"/>
      <c r="AO322" s="164"/>
      <c r="AP322" s="164"/>
      <c r="AQ322" s="164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</row>
    <row r="323" spans="2:55" s="29" customFormat="1" ht="21" customHeight="1" x14ac:dyDescent="0.3">
      <c r="B323" s="161"/>
      <c r="C323" s="162"/>
      <c r="D323" s="162"/>
      <c r="E323" s="163"/>
      <c r="F323" s="192"/>
      <c r="G323" s="192"/>
      <c r="H323" s="192"/>
      <c r="I323" s="192"/>
      <c r="J323" s="183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5"/>
      <c r="V323" s="165"/>
      <c r="W323" s="166"/>
      <c r="X323" s="166"/>
      <c r="Y323" s="167"/>
      <c r="Z323" s="196"/>
      <c r="AA323" s="197"/>
      <c r="AB323" s="197"/>
      <c r="AC323" s="197"/>
      <c r="AD323" s="197"/>
      <c r="AE323" s="197"/>
      <c r="AF323" s="197"/>
      <c r="AG323" s="197"/>
      <c r="AH323" s="197"/>
      <c r="AI323" s="197"/>
      <c r="AJ323" s="197"/>
      <c r="AK323" s="198"/>
      <c r="AL323" s="164"/>
      <c r="AM323" s="164"/>
      <c r="AN323" s="164"/>
      <c r="AO323" s="164"/>
      <c r="AP323" s="164"/>
      <c r="AQ323" s="164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</row>
    <row r="324" spans="2:55" s="29" customFormat="1" ht="21" customHeight="1" x14ac:dyDescent="0.3">
      <c r="B324" s="161"/>
      <c r="C324" s="162"/>
      <c r="D324" s="162"/>
      <c r="E324" s="163"/>
      <c r="F324" s="192"/>
      <c r="G324" s="192"/>
      <c r="H324" s="192"/>
      <c r="I324" s="192"/>
      <c r="J324" s="186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8"/>
      <c r="V324" s="168"/>
      <c r="W324" s="169"/>
      <c r="X324" s="169"/>
      <c r="Y324" s="170"/>
      <c r="Z324" s="193"/>
      <c r="AA324" s="194"/>
      <c r="AB324" s="194"/>
      <c r="AC324" s="194"/>
      <c r="AD324" s="194"/>
      <c r="AE324" s="194"/>
      <c r="AF324" s="194"/>
      <c r="AG324" s="194"/>
      <c r="AH324" s="194"/>
      <c r="AI324" s="194"/>
      <c r="AJ324" s="194"/>
      <c r="AK324" s="195"/>
      <c r="AL324" s="164"/>
      <c r="AM324" s="164"/>
      <c r="AN324" s="164"/>
      <c r="AO324" s="164"/>
      <c r="AP324" s="164"/>
      <c r="AQ324" s="164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</row>
    <row r="325" spans="2:55" s="29" customFormat="1" ht="21" customHeight="1" x14ac:dyDescent="0.3">
      <c r="B325" s="161"/>
      <c r="C325" s="162"/>
      <c r="D325" s="162"/>
      <c r="E325" s="163"/>
      <c r="F325" s="192"/>
      <c r="G325" s="192"/>
      <c r="H325" s="192"/>
      <c r="I325" s="192"/>
      <c r="J325" s="186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8"/>
      <c r="V325" s="168"/>
      <c r="W325" s="169"/>
      <c r="X325" s="169"/>
      <c r="Y325" s="170"/>
      <c r="Z325" s="193"/>
      <c r="AA325" s="194"/>
      <c r="AB325" s="194"/>
      <c r="AC325" s="194"/>
      <c r="AD325" s="194"/>
      <c r="AE325" s="194"/>
      <c r="AF325" s="194"/>
      <c r="AG325" s="194"/>
      <c r="AH325" s="194"/>
      <c r="AI325" s="194"/>
      <c r="AJ325" s="194"/>
      <c r="AK325" s="195"/>
      <c r="AL325" s="164"/>
      <c r="AM325" s="164"/>
      <c r="AN325" s="164"/>
      <c r="AO325" s="164"/>
      <c r="AP325" s="164"/>
      <c r="AQ325" s="164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</row>
    <row r="326" spans="2:55" s="29" customFormat="1" ht="21" customHeight="1" x14ac:dyDescent="0.3">
      <c r="B326" s="161"/>
      <c r="C326" s="162"/>
      <c r="D326" s="162"/>
      <c r="E326" s="163"/>
      <c r="F326" s="192"/>
      <c r="G326" s="192"/>
      <c r="H326" s="192"/>
      <c r="I326" s="192"/>
      <c r="J326" s="186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8"/>
      <c r="V326" s="168"/>
      <c r="W326" s="169"/>
      <c r="X326" s="169"/>
      <c r="Y326" s="170"/>
      <c r="Z326" s="193"/>
      <c r="AA326" s="194"/>
      <c r="AB326" s="194"/>
      <c r="AC326" s="194"/>
      <c r="AD326" s="194"/>
      <c r="AE326" s="194"/>
      <c r="AF326" s="194"/>
      <c r="AG326" s="194"/>
      <c r="AH326" s="194"/>
      <c r="AI326" s="194"/>
      <c r="AJ326" s="194"/>
      <c r="AK326" s="195"/>
      <c r="AL326" s="164"/>
      <c r="AM326" s="164"/>
      <c r="AN326" s="164"/>
      <c r="AO326" s="164"/>
      <c r="AP326" s="164"/>
      <c r="AQ326" s="164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</row>
    <row r="327" spans="2:55" s="29" customFormat="1" ht="21" customHeight="1" x14ac:dyDescent="0.3">
      <c r="B327" s="161"/>
      <c r="C327" s="162"/>
      <c r="D327" s="162"/>
      <c r="E327" s="163"/>
      <c r="F327" s="192"/>
      <c r="G327" s="192"/>
      <c r="H327" s="192"/>
      <c r="I327" s="192"/>
      <c r="J327" s="186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8"/>
      <c r="V327" s="168"/>
      <c r="W327" s="169"/>
      <c r="X327" s="169"/>
      <c r="Y327" s="170"/>
      <c r="Z327" s="193"/>
      <c r="AA327" s="194"/>
      <c r="AB327" s="194"/>
      <c r="AC327" s="194"/>
      <c r="AD327" s="194"/>
      <c r="AE327" s="194"/>
      <c r="AF327" s="194"/>
      <c r="AG327" s="194"/>
      <c r="AH327" s="194"/>
      <c r="AI327" s="194"/>
      <c r="AJ327" s="194"/>
      <c r="AK327" s="195"/>
      <c r="AL327" s="164"/>
      <c r="AM327" s="164"/>
      <c r="AN327" s="164"/>
      <c r="AO327" s="164"/>
      <c r="AP327" s="164"/>
      <c r="AQ327" s="164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</row>
    <row r="328" spans="2:55" s="29" customFormat="1" ht="21" customHeight="1" x14ac:dyDescent="0.3">
      <c r="B328" s="161"/>
      <c r="C328" s="162"/>
      <c r="D328" s="162"/>
      <c r="E328" s="163"/>
      <c r="F328" s="192"/>
      <c r="G328" s="192"/>
      <c r="H328" s="192"/>
      <c r="I328" s="192"/>
      <c r="J328" s="186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8"/>
      <c r="V328" s="168"/>
      <c r="W328" s="169"/>
      <c r="X328" s="169"/>
      <c r="Y328" s="170"/>
      <c r="Z328" s="193"/>
      <c r="AA328" s="194"/>
      <c r="AB328" s="194"/>
      <c r="AC328" s="194"/>
      <c r="AD328" s="194"/>
      <c r="AE328" s="194"/>
      <c r="AF328" s="194"/>
      <c r="AG328" s="194"/>
      <c r="AH328" s="194"/>
      <c r="AI328" s="194"/>
      <c r="AJ328" s="194"/>
      <c r="AK328" s="195"/>
      <c r="AL328" s="164"/>
      <c r="AM328" s="164"/>
      <c r="AN328" s="164"/>
      <c r="AO328" s="164"/>
      <c r="AP328" s="164"/>
      <c r="AQ328" s="164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</row>
    <row r="329" spans="2:55" s="29" customFormat="1" ht="21" customHeight="1" x14ac:dyDescent="0.3">
      <c r="B329" s="161"/>
      <c r="C329" s="162"/>
      <c r="D329" s="162"/>
      <c r="E329" s="163"/>
      <c r="F329" s="192"/>
      <c r="G329" s="192"/>
      <c r="H329" s="192"/>
      <c r="I329" s="192"/>
      <c r="J329" s="186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8"/>
      <c r="V329" s="168"/>
      <c r="W329" s="169"/>
      <c r="X329" s="169"/>
      <c r="Y329" s="170"/>
      <c r="Z329" s="193"/>
      <c r="AA329" s="194"/>
      <c r="AB329" s="194"/>
      <c r="AC329" s="194"/>
      <c r="AD329" s="194"/>
      <c r="AE329" s="194"/>
      <c r="AF329" s="194"/>
      <c r="AG329" s="194"/>
      <c r="AH329" s="194"/>
      <c r="AI329" s="194"/>
      <c r="AJ329" s="194"/>
      <c r="AK329" s="195"/>
      <c r="AL329" s="164"/>
      <c r="AM329" s="164"/>
      <c r="AN329" s="164"/>
      <c r="AO329" s="164"/>
      <c r="AP329" s="164"/>
      <c r="AQ329" s="164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</row>
    <row r="330" spans="2:55" s="29" customFormat="1" ht="21" customHeight="1" x14ac:dyDescent="0.3">
      <c r="B330" s="161"/>
      <c r="C330" s="162"/>
      <c r="D330" s="162"/>
      <c r="E330" s="163"/>
      <c r="F330" s="192"/>
      <c r="G330" s="192"/>
      <c r="H330" s="192"/>
      <c r="I330" s="192"/>
      <c r="J330" s="189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1"/>
      <c r="V330" s="171"/>
      <c r="W330" s="172"/>
      <c r="X330" s="172"/>
      <c r="Y330" s="173"/>
      <c r="Z330" s="199"/>
      <c r="AA330" s="200"/>
      <c r="AB330" s="200"/>
      <c r="AC330" s="200"/>
      <c r="AD330" s="200"/>
      <c r="AE330" s="200"/>
      <c r="AF330" s="200"/>
      <c r="AG330" s="200"/>
      <c r="AH330" s="200"/>
      <c r="AI330" s="200"/>
      <c r="AJ330" s="200"/>
      <c r="AK330" s="201"/>
      <c r="AL330" s="164"/>
      <c r="AM330" s="164"/>
      <c r="AN330" s="164"/>
      <c r="AO330" s="164"/>
      <c r="AP330" s="164"/>
      <c r="AQ330" s="164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</row>
    <row r="331" spans="2:55" s="29" customFormat="1" ht="21" customHeight="1" x14ac:dyDescent="0.3">
      <c r="B331" s="161"/>
      <c r="C331" s="162"/>
      <c r="D331" s="162"/>
      <c r="E331" s="163"/>
      <c r="F331" s="192"/>
      <c r="G331" s="192"/>
      <c r="H331" s="192"/>
      <c r="I331" s="192"/>
      <c r="J331" s="183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5"/>
      <c r="V331" s="165"/>
      <c r="W331" s="166"/>
      <c r="X331" s="166"/>
      <c r="Y331" s="167"/>
      <c r="Z331" s="196"/>
      <c r="AA331" s="197"/>
      <c r="AB331" s="197"/>
      <c r="AC331" s="197"/>
      <c r="AD331" s="197"/>
      <c r="AE331" s="197"/>
      <c r="AF331" s="197"/>
      <c r="AG331" s="197"/>
      <c r="AH331" s="197"/>
      <c r="AI331" s="197"/>
      <c r="AJ331" s="197"/>
      <c r="AK331" s="198"/>
      <c r="AL331" s="164"/>
      <c r="AM331" s="164"/>
      <c r="AN331" s="164"/>
      <c r="AO331" s="164"/>
      <c r="AP331" s="164"/>
      <c r="AQ331" s="164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</row>
    <row r="332" spans="2:55" s="29" customFormat="1" ht="21" customHeight="1" x14ac:dyDescent="0.3">
      <c r="B332" s="161"/>
      <c r="C332" s="162"/>
      <c r="D332" s="162"/>
      <c r="E332" s="163"/>
      <c r="F332" s="192"/>
      <c r="G332" s="192"/>
      <c r="H332" s="192"/>
      <c r="I332" s="192"/>
      <c r="J332" s="186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8"/>
      <c r="V332" s="168"/>
      <c r="W332" s="169"/>
      <c r="X332" s="169"/>
      <c r="Y332" s="170"/>
      <c r="Z332" s="193"/>
      <c r="AA332" s="194"/>
      <c r="AB332" s="194"/>
      <c r="AC332" s="194"/>
      <c r="AD332" s="194"/>
      <c r="AE332" s="194"/>
      <c r="AF332" s="194"/>
      <c r="AG332" s="194"/>
      <c r="AH332" s="194"/>
      <c r="AI332" s="194"/>
      <c r="AJ332" s="194"/>
      <c r="AK332" s="195"/>
      <c r="AL332" s="164"/>
      <c r="AM332" s="164"/>
      <c r="AN332" s="164"/>
      <c r="AO332" s="164"/>
      <c r="AP332" s="164"/>
      <c r="AQ332" s="164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</row>
    <row r="333" spans="2:55" s="29" customFormat="1" ht="21" customHeight="1" x14ac:dyDescent="0.3">
      <c r="B333" s="161"/>
      <c r="C333" s="162"/>
      <c r="D333" s="162"/>
      <c r="E333" s="163"/>
      <c r="F333" s="192"/>
      <c r="G333" s="192"/>
      <c r="H333" s="192"/>
      <c r="I333" s="192"/>
      <c r="J333" s="186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8"/>
      <c r="V333" s="168"/>
      <c r="W333" s="169"/>
      <c r="X333" s="169"/>
      <c r="Y333" s="170"/>
      <c r="Z333" s="193"/>
      <c r="AA333" s="194"/>
      <c r="AB333" s="194"/>
      <c r="AC333" s="194"/>
      <c r="AD333" s="194"/>
      <c r="AE333" s="194"/>
      <c r="AF333" s="194"/>
      <c r="AG333" s="194"/>
      <c r="AH333" s="194"/>
      <c r="AI333" s="194"/>
      <c r="AJ333" s="194"/>
      <c r="AK333" s="195"/>
      <c r="AL333" s="164"/>
      <c r="AM333" s="164"/>
      <c r="AN333" s="164"/>
      <c r="AO333" s="164"/>
      <c r="AP333" s="164"/>
      <c r="AQ333" s="164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</row>
    <row r="334" spans="2:55" s="29" customFormat="1" ht="21" customHeight="1" x14ac:dyDescent="0.3">
      <c r="B334" s="161"/>
      <c r="C334" s="162"/>
      <c r="D334" s="162"/>
      <c r="E334" s="163"/>
      <c r="F334" s="192"/>
      <c r="G334" s="192"/>
      <c r="H334" s="192"/>
      <c r="I334" s="192"/>
      <c r="J334" s="186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8"/>
      <c r="V334" s="168"/>
      <c r="W334" s="169"/>
      <c r="X334" s="169"/>
      <c r="Y334" s="170"/>
      <c r="Z334" s="193"/>
      <c r="AA334" s="194"/>
      <c r="AB334" s="194"/>
      <c r="AC334" s="194"/>
      <c r="AD334" s="194"/>
      <c r="AE334" s="194"/>
      <c r="AF334" s="194"/>
      <c r="AG334" s="194"/>
      <c r="AH334" s="194"/>
      <c r="AI334" s="194"/>
      <c r="AJ334" s="194"/>
      <c r="AK334" s="195"/>
      <c r="AL334" s="164"/>
      <c r="AM334" s="164"/>
      <c r="AN334" s="164"/>
      <c r="AO334" s="164"/>
      <c r="AP334" s="164"/>
      <c r="AQ334" s="164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</row>
    <row r="335" spans="2:55" s="29" customFormat="1" ht="21" customHeight="1" x14ac:dyDescent="0.3">
      <c r="B335" s="161"/>
      <c r="C335" s="162"/>
      <c r="D335" s="162"/>
      <c r="E335" s="163"/>
      <c r="F335" s="192"/>
      <c r="G335" s="192"/>
      <c r="H335" s="192"/>
      <c r="I335" s="192"/>
      <c r="J335" s="186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8"/>
      <c r="V335" s="168"/>
      <c r="W335" s="169"/>
      <c r="X335" s="169"/>
      <c r="Y335" s="170"/>
      <c r="Z335" s="193"/>
      <c r="AA335" s="194"/>
      <c r="AB335" s="194"/>
      <c r="AC335" s="194"/>
      <c r="AD335" s="194"/>
      <c r="AE335" s="194"/>
      <c r="AF335" s="194"/>
      <c r="AG335" s="194"/>
      <c r="AH335" s="194"/>
      <c r="AI335" s="194"/>
      <c r="AJ335" s="194"/>
      <c r="AK335" s="195"/>
      <c r="AL335" s="164"/>
      <c r="AM335" s="164"/>
      <c r="AN335" s="164"/>
      <c r="AO335" s="164"/>
      <c r="AP335" s="164"/>
      <c r="AQ335" s="164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</row>
    <row r="336" spans="2:55" s="29" customFormat="1" ht="21" customHeight="1" x14ac:dyDescent="0.3">
      <c r="B336" s="161"/>
      <c r="C336" s="162"/>
      <c r="D336" s="162"/>
      <c r="E336" s="163"/>
      <c r="F336" s="192"/>
      <c r="G336" s="192"/>
      <c r="H336" s="192"/>
      <c r="I336" s="192"/>
      <c r="J336" s="186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8"/>
      <c r="V336" s="168"/>
      <c r="W336" s="169"/>
      <c r="X336" s="169"/>
      <c r="Y336" s="170"/>
      <c r="Z336" s="193"/>
      <c r="AA336" s="194"/>
      <c r="AB336" s="194"/>
      <c r="AC336" s="194"/>
      <c r="AD336" s="194"/>
      <c r="AE336" s="194"/>
      <c r="AF336" s="194"/>
      <c r="AG336" s="194"/>
      <c r="AH336" s="194"/>
      <c r="AI336" s="194"/>
      <c r="AJ336" s="194"/>
      <c r="AK336" s="195"/>
      <c r="AL336" s="164"/>
      <c r="AM336" s="164"/>
      <c r="AN336" s="164"/>
      <c r="AO336" s="164"/>
      <c r="AP336" s="164"/>
      <c r="AQ336" s="164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</row>
    <row r="337" spans="2:55" s="29" customFormat="1" ht="21" customHeight="1" x14ac:dyDescent="0.3">
      <c r="B337" s="161"/>
      <c r="C337" s="162"/>
      <c r="D337" s="162"/>
      <c r="E337" s="163"/>
      <c r="F337" s="192"/>
      <c r="G337" s="192"/>
      <c r="H337" s="192"/>
      <c r="I337" s="192"/>
      <c r="J337" s="186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8"/>
      <c r="V337" s="168"/>
      <c r="W337" s="169"/>
      <c r="X337" s="169"/>
      <c r="Y337" s="170"/>
      <c r="Z337" s="193"/>
      <c r="AA337" s="194"/>
      <c r="AB337" s="194"/>
      <c r="AC337" s="194"/>
      <c r="AD337" s="194"/>
      <c r="AE337" s="194"/>
      <c r="AF337" s="194"/>
      <c r="AG337" s="194"/>
      <c r="AH337" s="194"/>
      <c r="AI337" s="194"/>
      <c r="AJ337" s="194"/>
      <c r="AK337" s="195"/>
      <c r="AL337" s="164"/>
      <c r="AM337" s="164"/>
      <c r="AN337" s="164"/>
      <c r="AO337" s="164"/>
      <c r="AP337" s="164"/>
      <c r="AQ337" s="164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</row>
    <row r="338" spans="2:55" s="29" customFormat="1" ht="21" customHeight="1" x14ac:dyDescent="0.3">
      <c r="B338" s="161"/>
      <c r="C338" s="162"/>
      <c r="D338" s="162"/>
      <c r="E338" s="163"/>
      <c r="F338" s="192"/>
      <c r="G338" s="192"/>
      <c r="H338" s="192"/>
      <c r="I338" s="192"/>
      <c r="J338" s="189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1"/>
      <c r="V338" s="171"/>
      <c r="W338" s="172"/>
      <c r="X338" s="172"/>
      <c r="Y338" s="173"/>
      <c r="Z338" s="199"/>
      <c r="AA338" s="200"/>
      <c r="AB338" s="200"/>
      <c r="AC338" s="200"/>
      <c r="AD338" s="200"/>
      <c r="AE338" s="200"/>
      <c r="AF338" s="200"/>
      <c r="AG338" s="200"/>
      <c r="AH338" s="200"/>
      <c r="AI338" s="200"/>
      <c r="AJ338" s="200"/>
      <c r="AK338" s="201"/>
      <c r="AL338" s="164"/>
      <c r="AM338" s="164"/>
      <c r="AN338" s="164"/>
      <c r="AO338" s="164"/>
      <c r="AP338" s="164"/>
      <c r="AQ338" s="164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</row>
    <row r="339" spans="2:55" s="29" customFormat="1" ht="21" customHeight="1" x14ac:dyDescent="0.3">
      <c r="B339" s="161"/>
      <c r="C339" s="162"/>
      <c r="D339" s="162"/>
      <c r="E339" s="163"/>
      <c r="F339" s="192"/>
      <c r="G339" s="192"/>
      <c r="H339" s="192"/>
      <c r="I339" s="192"/>
      <c r="J339" s="183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5"/>
      <c r="V339" s="165"/>
      <c r="W339" s="166"/>
      <c r="X339" s="166"/>
      <c r="Y339" s="167"/>
      <c r="Z339" s="196"/>
      <c r="AA339" s="197"/>
      <c r="AB339" s="197"/>
      <c r="AC339" s="197"/>
      <c r="AD339" s="197"/>
      <c r="AE339" s="197"/>
      <c r="AF339" s="197"/>
      <c r="AG339" s="197"/>
      <c r="AH339" s="197"/>
      <c r="AI339" s="197"/>
      <c r="AJ339" s="197"/>
      <c r="AK339" s="198"/>
      <c r="AL339" s="164"/>
      <c r="AM339" s="164"/>
      <c r="AN339" s="164"/>
      <c r="AO339" s="164"/>
      <c r="AP339" s="164"/>
      <c r="AQ339" s="164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</row>
    <row r="340" spans="2:55" s="29" customFormat="1" ht="21" customHeight="1" x14ac:dyDescent="0.3">
      <c r="B340" s="161"/>
      <c r="C340" s="162"/>
      <c r="D340" s="162"/>
      <c r="E340" s="163"/>
      <c r="F340" s="192"/>
      <c r="G340" s="192"/>
      <c r="H340" s="192"/>
      <c r="I340" s="192"/>
      <c r="J340" s="186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8"/>
      <c r="V340" s="168"/>
      <c r="W340" s="169"/>
      <c r="X340" s="169"/>
      <c r="Y340" s="170"/>
      <c r="Z340" s="193"/>
      <c r="AA340" s="194"/>
      <c r="AB340" s="194"/>
      <c r="AC340" s="194"/>
      <c r="AD340" s="194"/>
      <c r="AE340" s="194"/>
      <c r="AF340" s="194"/>
      <c r="AG340" s="194"/>
      <c r="AH340" s="194"/>
      <c r="AI340" s="194"/>
      <c r="AJ340" s="194"/>
      <c r="AK340" s="195"/>
      <c r="AL340" s="164"/>
      <c r="AM340" s="164"/>
      <c r="AN340" s="164"/>
      <c r="AO340" s="164"/>
      <c r="AP340" s="164"/>
      <c r="AQ340" s="164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</row>
    <row r="341" spans="2:55" s="29" customFormat="1" ht="21" customHeight="1" x14ac:dyDescent="0.3">
      <c r="B341" s="161"/>
      <c r="C341" s="162"/>
      <c r="D341" s="162"/>
      <c r="E341" s="163"/>
      <c r="F341" s="192"/>
      <c r="G341" s="192"/>
      <c r="H341" s="192"/>
      <c r="I341" s="192"/>
      <c r="J341" s="186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8"/>
      <c r="V341" s="168"/>
      <c r="W341" s="169"/>
      <c r="X341" s="169"/>
      <c r="Y341" s="170"/>
      <c r="Z341" s="193"/>
      <c r="AA341" s="194"/>
      <c r="AB341" s="194"/>
      <c r="AC341" s="194"/>
      <c r="AD341" s="194"/>
      <c r="AE341" s="194"/>
      <c r="AF341" s="194"/>
      <c r="AG341" s="194"/>
      <c r="AH341" s="194"/>
      <c r="AI341" s="194"/>
      <c r="AJ341" s="194"/>
      <c r="AK341" s="195"/>
      <c r="AL341" s="164"/>
      <c r="AM341" s="164"/>
      <c r="AN341" s="164"/>
      <c r="AO341" s="164"/>
      <c r="AP341" s="164"/>
      <c r="AQ341" s="164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</row>
    <row r="342" spans="2:55" s="29" customFormat="1" ht="21" customHeight="1" x14ac:dyDescent="0.3">
      <c r="B342" s="161"/>
      <c r="C342" s="162"/>
      <c r="D342" s="162"/>
      <c r="E342" s="163"/>
      <c r="F342" s="192"/>
      <c r="G342" s="192"/>
      <c r="H342" s="192"/>
      <c r="I342" s="192"/>
      <c r="J342" s="186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8"/>
      <c r="V342" s="168"/>
      <c r="W342" s="169"/>
      <c r="X342" s="169"/>
      <c r="Y342" s="170"/>
      <c r="Z342" s="193"/>
      <c r="AA342" s="194"/>
      <c r="AB342" s="194"/>
      <c r="AC342" s="194"/>
      <c r="AD342" s="194"/>
      <c r="AE342" s="194"/>
      <c r="AF342" s="194"/>
      <c r="AG342" s="194"/>
      <c r="AH342" s="194"/>
      <c r="AI342" s="194"/>
      <c r="AJ342" s="194"/>
      <c r="AK342" s="195"/>
      <c r="AL342" s="164"/>
      <c r="AM342" s="164"/>
      <c r="AN342" s="164"/>
      <c r="AO342" s="164"/>
      <c r="AP342" s="164"/>
      <c r="AQ342" s="164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</row>
    <row r="343" spans="2:55" s="29" customFormat="1" ht="21" customHeight="1" x14ac:dyDescent="0.3">
      <c r="B343" s="161"/>
      <c r="C343" s="162"/>
      <c r="D343" s="162"/>
      <c r="E343" s="163"/>
      <c r="F343" s="192"/>
      <c r="G343" s="192"/>
      <c r="H343" s="192"/>
      <c r="I343" s="192"/>
      <c r="J343" s="186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8"/>
      <c r="V343" s="168"/>
      <c r="W343" s="169"/>
      <c r="X343" s="169"/>
      <c r="Y343" s="170"/>
      <c r="Z343" s="193"/>
      <c r="AA343" s="194"/>
      <c r="AB343" s="194"/>
      <c r="AC343" s="194"/>
      <c r="AD343" s="194"/>
      <c r="AE343" s="194"/>
      <c r="AF343" s="194"/>
      <c r="AG343" s="194"/>
      <c r="AH343" s="194"/>
      <c r="AI343" s="194"/>
      <c r="AJ343" s="194"/>
      <c r="AK343" s="195"/>
      <c r="AL343" s="164"/>
      <c r="AM343" s="164"/>
      <c r="AN343" s="164"/>
      <c r="AO343" s="164"/>
      <c r="AP343" s="164"/>
      <c r="AQ343" s="164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</row>
    <row r="344" spans="2:55" s="29" customFormat="1" ht="21" customHeight="1" x14ac:dyDescent="0.3">
      <c r="B344" s="161"/>
      <c r="C344" s="162"/>
      <c r="D344" s="162"/>
      <c r="E344" s="163"/>
      <c r="F344" s="192"/>
      <c r="G344" s="192"/>
      <c r="H344" s="192"/>
      <c r="I344" s="192"/>
      <c r="J344" s="186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8"/>
      <c r="V344" s="168"/>
      <c r="W344" s="169"/>
      <c r="X344" s="169"/>
      <c r="Y344" s="170"/>
      <c r="Z344" s="193"/>
      <c r="AA344" s="194"/>
      <c r="AB344" s="194"/>
      <c r="AC344" s="194"/>
      <c r="AD344" s="194"/>
      <c r="AE344" s="194"/>
      <c r="AF344" s="194"/>
      <c r="AG344" s="194"/>
      <c r="AH344" s="194"/>
      <c r="AI344" s="194"/>
      <c r="AJ344" s="194"/>
      <c r="AK344" s="195"/>
      <c r="AL344" s="164"/>
      <c r="AM344" s="164"/>
      <c r="AN344" s="164"/>
      <c r="AO344" s="164"/>
      <c r="AP344" s="164"/>
      <c r="AQ344" s="164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</row>
    <row r="345" spans="2:55" s="29" customFormat="1" ht="21" customHeight="1" x14ac:dyDescent="0.3">
      <c r="B345" s="161"/>
      <c r="C345" s="162"/>
      <c r="D345" s="162"/>
      <c r="E345" s="163"/>
      <c r="F345" s="192"/>
      <c r="G345" s="192"/>
      <c r="H345" s="192"/>
      <c r="I345" s="192"/>
      <c r="J345" s="186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8"/>
      <c r="V345" s="168"/>
      <c r="W345" s="169"/>
      <c r="X345" s="169"/>
      <c r="Y345" s="170"/>
      <c r="Z345" s="193"/>
      <c r="AA345" s="194"/>
      <c r="AB345" s="194"/>
      <c r="AC345" s="194"/>
      <c r="AD345" s="194"/>
      <c r="AE345" s="194"/>
      <c r="AF345" s="194"/>
      <c r="AG345" s="194"/>
      <c r="AH345" s="194"/>
      <c r="AI345" s="194"/>
      <c r="AJ345" s="194"/>
      <c r="AK345" s="195"/>
      <c r="AL345" s="164"/>
      <c r="AM345" s="164"/>
      <c r="AN345" s="164"/>
      <c r="AO345" s="164"/>
      <c r="AP345" s="164"/>
      <c r="AQ345" s="164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</row>
    <row r="346" spans="2:55" s="29" customFormat="1" ht="21" customHeight="1" x14ac:dyDescent="0.3">
      <c r="B346" s="161"/>
      <c r="C346" s="162"/>
      <c r="D346" s="162"/>
      <c r="E346" s="163"/>
      <c r="F346" s="192"/>
      <c r="G346" s="192"/>
      <c r="H346" s="192"/>
      <c r="I346" s="192"/>
      <c r="J346" s="189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1"/>
      <c r="V346" s="171"/>
      <c r="W346" s="172"/>
      <c r="X346" s="172"/>
      <c r="Y346" s="173"/>
      <c r="Z346" s="199"/>
      <c r="AA346" s="200"/>
      <c r="AB346" s="200"/>
      <c r="AC346" s="200"/>
      <c r="AD346" s="200"/>
      <c r="AE346" s="200"/>
      <c r="AF346" s="200"/>
      <c r="AG346" s="200"/>
      <c r="AH346" s="200"/>
      <c r="AI346" s="200"/>
      <c r="AJ346" s="200"/>
      <c r="AK346" s="201"/>
      <c r="AL346" s="164"/>
      <c r="AM346" s="164"/>
      <c r="AN346" s="164"/>
      <c r="AO346" s="164"/>
      <c r="AP346" s="164"/>
      <c r="AQ346" s="164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</row>
    <row r="347" spans="2:55" s="29" customFormat="1" ht="21" customHeight="1" x14ac:dyDescent="0.3">
      <c r="B347" s="161"/>
      <c r="C347" s="162"/>
      <c r="D347" s="162"/>
      <c r="E347" s="163"/>
      <c r="F347" s="192"/>
      <c r="G347" s="192"/>
      <c r="H347" s="192"/>
      <c r="I347" s="192"/>
      <c r="J347" s="183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5"/>
      <c r="V347" s="165"/>
      <c r="W347" s="166"/>
      <c r="X347" s="166"/>
      <c r="Y347" s="167"/>
      <c r="Z347" s="196"/>
      <c r="AA347" s="197"/>
      <c r="AB347" s="197"/>
      <c r="AC347" s="197"/>
      <c r="AD347" s="197"/>
      <c r="AE347" s="197"/>
      <c r="AF347" s="197"/>
      <c r="AG347" s="197"/>
      <c r="AH347" s="197"/>
      <c r="AI347" s="197"/>
      <c r="AJ347" s="197"/>
      <c r="AK347" s="198"/>
      <c r="AL347" s="164"/>
      <c r="AM347" s="164"/>
      <c r="AN347" s="164"/>
      <c r="AO347" s="164"/>
      <c r="AP347" s="164"/>
      <c r="AQ347" s="164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</row>
    <row r="348" spans="2:55" s="29" customFormat="1" ht="21" customHeight="1" x14ac:dyDescent="0.3">
      <c r="B348" s="161"/>
      <c r="C348" s="162"/>
      <c r="D348" s="162"/>
      <c r="E348" s="163"/>
      <c r="F348" s="192"/>
      <c r="G348" s="192"/>
      <c r="H348" s="192"/>
      <c r="I348" s="192"/>
      <c r="J348" s="186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8"/>
      <c r="V348" s="168"/>
      <c r="W348" s="169"/>
      <c r="X348" s="169"/>
      <c r="Y348" s="170"/>
      <c r="Z348" s="193"/>
      <c r="AA348" s="194"/>
      <c r="AB348" s="194"/>
      <c r="AC348" s="194"/>
      <c r="AD348" s="194"/>
      <c r="AE348" s="194"/>
      <c r="AF348" s="194"/>
      <c r="AG348" s="194"/>
      <c r="AH348" s="194"/>
      <c r="AI348" s="194"/>
      <c r="AJ348" s="194"/>
      <c r="AK348" s="195"/>
      <c r="AL348" s="164"/>
      <c r="AM348" s="164"/>
      <c r="AN348" s="164"/>
      <c r="AO348" s="164"/>
      <c r="AP348" s="164"/>
      <c r="AQ348" s="164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</row>
    <row r="349" spans="2:55" s="29" customFormat="1" ht="21" customHeight="1" x14ac:dyDescent="0.3">
      <c r="B349" s="161"/>
      <c r="C349" s="162"/>
      <c r="D349" s="162"/>
      <c r="E349" s="163"/>
      <c r="F349" s="192"/>
      <c r="G349" s="192"/>
      <c r="H349" s="192"/>
      <c r="I349" s="192"/>
      <c r="J349" s="186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8"/>
      <c r="V349" s="168"/>
      <c r="W349" s="169"/>
      <c r="X349" s="169"/>
      <c r="Y349" s="170"/>
      <c r="Z349" s="193"/>
      <c r="AA349" s="194"/>
      <c r="AB349" s="194"/>
      <c r="AC349" s="194"/>
      <c r="AD349" s="194"/>
      <c r="AE349" s="194"/>
      <c r="AF349" s="194"/>
      <c r="AG349" s="194"/>
      <c r="AH349" s="194"/>
      <c r="AI349" s="194"/>
      <c r="AJ349" s="194"/>
      <c r="AK349" s="195"/>
      <c r="AL349" s="164"/>
      <c r="AM349" s="164"/>
      <c r="AN349" s="164"/>
      <c r="AO349" s="164"/>
      <c r="AP349" s="164"/>
      <c r="AQ349" s="164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</row>
    <row r="350" spans="2:55" s="29" customFormat="1" ht="21" customHeight="1" x14ac:dyDescent="0.3">
      <c r="B350" s="161"/>
      <c r="C350" s="162"/>
      <c r="D350" s="162"/>
      <c r="E350" s="163"/>
      <c r="F350" s="192"/>
      <c r="G350" s="192"/>
      <c r="H350" s="192"/>
      <c r="I350" s="192"/>
      <c r="J350" s="186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8"/>
      <c r="V350" s="168"/>
      <c r="W350" s="169"/>
      <c r="X350" s="169"/>
      <c r="Y350" s="170"/>
      <c r="Z350" s="193"/>
      <c r="AA350" s="194"/>
      <c r="AB350" s="194"/>
      <c r="AC350" s="194"/>
      <c r="AD350" s="194"/>
      <c r="AE350" s="194"/>
      <c r="AF350" s="194"/>
      <c r="AG350" s="194"/>
      <c r="AH350" s="194"/>
      <c r="AI350" s="194"/>
      <c r="AJ350" s="194"/>
      <c r="AK350" s="195"/>
      <c r="AL350" s="164"/>
      <c r="AM350" s="164"/>
      <c r="AN350" s="164"/>
      <c r="AO350" s="164"/>
      <c r="AP350" s="164"/>
      <c r="AQ350" s="164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</row>
    <row r="351" spans="2:55" s="29" customFormat="1" ht="21" customHeight="1" x14ac:dyDescent="0.3">
      <c r="B351" s="161"/>
      <c r="C351" s="162"/>
      <c r="D351" s="162"/>
      <c r="E351" s="163"/>
      <c r="F351" s="192"/>
      <c r="G351" s="192"/>
      <c r="H351" s="192"/>
      <c r="I351" s="192"/>
      <c r="J351" s="186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8"/>
      <c r="V351" s="168"/>
      <c r="W351" s="169"/>
      <c r="X351" s="169"/>
      <c r="Y351" s="170"/>
      <c r="Z351" s="193"/>
      <c r="AA351" s="194"/>
      <c r="AB351" s="194"/>
      <c r="AC351" s="194"/>
      <c r="AD351" s="194"/>
      <c r="AE351" s="194"/>
      <c r="AF351" s="194"/>
      <c r="AG351" s="194"/>
      <c r="AH351" s="194"/>
      <c r="AI351" s="194"/>
      <c r="AJ351" s="194"/>
      <c r="AK351" s="195"/>
      <c r="AL351" s="164"/>
      <c r="AM351" s="164"/>
      <c r="AN351" s="164"/>
      <c r="AO351" s="164"/>
      <c r="AP351" s="164"/>
      <c r="AQ351" s="164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</row>
    <row r="352" spans="2:55" s="29" customFormat="1" ht="21" customHeight="1" x14ac:dyDescent="0.3">
      <c r="B352" s="161"/>
      <c r="C352" s="162"/>
      <c r="D352" s="162"/>
      <c r="E352" s="163"/>
      <c r="F352" s="192"/>
      <c r="G352" s="192"/>
      <c r="H352" s="192"/>
      <c r="I352" s="192"/>
      <c r="J352" s="186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8"/>
      <c r="V352" s="168"/>
      <c r="W352" s="169"/>
      <c r="X352" s="169"/>
      <c r="Y352" s="170"/>
      <c r="Z352" s="193"/>
      <c r="AA352" s="194"/>
      <c r="AB352" s="194"/>
      <c r="AC352" s="194"/>
      <c r="AD352" s="194"/>
      <c r="AE352" s="194"/>
      <c r="AF352" s="194"/>
      <c r="AG352" s="194"/>
      <c r="AH352" s="194"/>
      <c r="AI352" s="194"/>
      <c r="AJ352" s="194"/>
      <c r="AK352" s="195"/>
      <c r="AL352" s="164"/>
      <c r="AM352" s="164"/>
      <c r="AN352" s="164"/>
      <c r="AO352" s="164"/>
      <c r="AP352" s="164"/>
      <c r="AQ352" s="164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</row>
    <row r="353" spans="2:55" s="29" customFormat="1" ht="21" customHeight="1" x14ac:dyDescent="0.3">
      <c r="B353" s="161"/>
      <c r="C353" s="162"/>
      <c r="D353" s="162"/>
      <c r="E353" s="163"/>
      <c r="F353" s="192"/>
      <c r="G353" s="192"/>
      <c r="H353" s="192"/>
      <c r="I353" s="192"/>
      <c r="J353" s="186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8"/>
      <c r="V353" s="168"/>
      <c r="W353" s="169"/>
      <c r="X353" s="169"/>
      <c r="Y353" s="170"/>
      <c r="Z353" s="193"/>
      <c r="AA353" s="194"/>
      <c r="AB353" s="194"/>
      <c r="AC353" s="194"/>
      <c r="AD353" s="194"/>
      <c r="AE353" s="194"/>
      <c r="AF353" s="194"/>
      <c r="AG353" s="194"/>
      <c r="AH353" s="194"/>
      <c r="AI353" s="194"/>
      <c r="AJ353" s="194"/>
      <c r="AK353" s="195"/>
      <c r="AL353" s="164"/>
      <c r="AM353" s="164"/>
      <c r="AN353" s="164"/>
      <c r="AO353" s="164"/>
      <c r="AP353" s="164"/>
      <c r="AQ353" s="164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</row>
    <row r="354" spans="2:55" s="29" customFormat="1" ht="21" customHeight="1" x14ac:dyDescent="0.3">
      <c r="B354" s="161"/>
      <c r="C354" s="162"/>
      <c r="D354" s="162"/>
      <c r="E354" s="163"/>
      <c r="F354" s="192"/>
      <c r="G354" s="192"/>
      <c r="H354" s="192"/>
      <c r="I354" s="192"/>
      <c r="J354" s="189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1"/>
      <c r="V354" s="171"/>
      <c r="W354" s="172"/>
      <c r="X354" s="172"/>
      <c r="Y354" s="173"/>
      <c r="Z354" s="199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1"/>
      <c r="AL354" s="164"/>
      <c r="AM354" s="164"/>
      <c r="AN354" s="164"/>
      <c r="AO354" s="164"/>
      <c r="AP354" s="164"/>
      <c r="AQ354" s="164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</row>
    <row r="355" spans="2:55" s="29" customFormat="1" ht="21" customHeight="1" x14ac:dyDescent="0.3">
      <c r="B355" s="161"/>
      <c r="C355" s="162"/>
      <c r="D355" s="162"/>
      <c r="E355" s="163"/>
      <c r="F355" s="192"/>
      <c r="G355" s="192"/>
      <c r="H355" s="192"/>
      <c r="I355" s="192"/>
      <c r="J355" s="183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5"/>
      <c r="V355" s="165"/>
      <c r="W355" s="166"/>
      <c r="X355" s="166"/>
      <c r="Y355" s="167"/>
      <c r="Z355" s="196"/>
      <c r="AA355" s="197"/>
      <c r="AB355" s="197"/>
      <c r="AC355" s="197"/>
      <c r="AD355" s="197"/>
      <c r="AE355" s="197"/>
      <c r="AF355" s="197"/>
      <c r="AG355" s="197"/>
      <c r="AH355" s="197"/>
      <c r="AI355" s="197"/>
      <c r="AJ355" s="197"/>
      <c r="AK355" s="198"/>
      <c r="AL355" s="164"/>
      <c r="AM355" s="164"/>
      <c r="AN355" s="164"/>
      <c r="AO355" s="164"/>
      <c r="AP355" s="164"/>
      <c r="AQ355" s="164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</row>
    <row r="356" spans="2:55" s="29" customFormat="1" ht="21" customHeight="1" x14ac:dyDescent="0.3">
      <c r="B356" s="161"/>
      <c r="C356" s="162"/>
      <c r="D356" s="162"/>
      <c r="E356" s="163"/>
      <c r="F356" s="192"/>
      <c r="G356" s="192"/>
      <c r="H356" s="192"/>
      <c r="I356" s="192"/>
      <c r="J356" s="186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8"/>
      <c r="V356" s="168"/>
      <c r="W356" s="169"/>
      <c r="X356" s="169"/>
      <c r="Y356" s="170"/>
      <c r="Z356" s="193"/>
      <c r="AA356" s="194"/>
      <c r="AB356" s="194"/>
      <c r="AC356" s="194"/>
      <c r="AD356" s="194"/>
      <c r="AE356" s="194"/>
      <c r="AF356" s="194"/>
      <c r="AG356" s="194"/>
      <c r="AH356" s="194"/>
      <c r="AI356" s="194"/>
      <c r="AJ356" s="194"/>
      <c r="AK356" s="195"/>
      <c r="AL356" s="164"/>
      <c r="AM356" s="164"/>
      <c r="AN356" s="164"/>
      <c r="AO356" s="164"/>
      <c r="AP356" s="164"/>
      <c r="AQ356" s="164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</row>
    <row r="357" spans="2:55" s="29" customFormat="1" ht="21" customHeight="1" x14ac:dyDescent="0.3">
      <c r="B357" s="161"/>
      <c r="C357" s="162"/>
      <c r="D357" s="162"/>
      <c r="E357" s="163"/>
      <c r="F357" s="192"/>
      <c r="G357" s="192"/>
      <c r="H357" s="192"/>
      <c r="I357" s="192"/>
      <c r="J357" s="186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8"/>
      <c r="V357" s="168"/>
      <c r="W357" s="169"/>
      <c r="X357" s="169"/>
      <c r="Y357" s="170"/>
      <c r="Z357" s="193"/>
      <c r="AA357" s="194"/>
      <c r="AB357" s="194"/>
      <c r="AC357" s="194"/>
      <c r="AD357" s="194"/>
      <c r="AE357" s="194"/>
      <c r="AF357" s="194"/>
      <c r="AG357" s="194"/>
      <c r="AH357" s="194"/>
      <c r="AI357" s="194"/>
      <c r="AJ357" s="194"/>
      <c r="AK357" s="195"/>
      <c r="AL357" s="164"/>
      <c r="AM357" s="164"/>
      <c r="AN357" s="164"/>
      <c r="AO357" s="164"/>
      <c r="AP357" s="164"/>
      <c r="AQ357" s="164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</row>
    <row r="358" spans="2:55" s="29" customFormat="1" ht="21" customHeight="1" x14ac:dyDescent="0.3">
      <c r="B358" s="161"/>
      <c r="C358" s="162"/>
      <c r="D358" s="162"/>
      <c r="E358" s="163"/>
      <c r="F358" s="192"/>
      <c r="G358" s="192"/>
      <c r="H358" s="192"/>
      <c r="I358" s="192"/>
      <c r="J358" s="186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8"/>
      <c r="V358" s="168"/>
      <c r="W358" s="169"/>
      <c r="X358" s="169"/>
      <c r="Y358" s="170"/>
      <c r="Z358" s="193"/>
      <c r="AA358" s="194"/>
      <c r="AB358" s="194"/>
      <c r="AC358" s="194"/>
      <c r="AD358" s="194"/>
      <c r="AE358" s="194"/>
      <c r="AF358" s="194"/>
      <c r="AG358" s="194"/>
      <c r="AH358" s="194"/>
      <c r="AI358" s="194"/>
      <c r="AJ358" s="194"/>
      <c r="AK358" s="195"/>
      <c r="AL358" s="164"/>
      <c r="AM358" s="164"/>
      <c r="AN358" s="164"/>
      <c r="AO358" s="164"/>
      <c r="AP358" s="164"/>
      <c r="AQ358" s="164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</row>
    <row r="359" spans="2:55" s="29" customFormat="1" ht="21" customHeight="1" x14ac:dyDescent="0.3">
      <c r="B359" s="161"/>
      <c r="C359" s="162"/>
      <c r="D359" s="162"/>
      <c r="E359" s="163"/>
      <c r="F359" s="192"/>
      <c r="G359" s="192"/>
      <c r="H359" s="192"/>
      <c r="I359" s="192"/>
      <c r="J359" s="186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8"/>
      <c r="V359" s="168"/>
      <c r="W359" s="169"/>
      <c r="X359" s="169"/>
      <c r="Y359" s="170"/>
      <c r="Z359" s="193"/>
      <c r="AA359" s="194"/>
      <c r="AB359" s="194"/>
      <c r="AC359" s="194"/>
      <c r="AD359" s="194"/>
      <c r="AE359" s="194"/>
      <c r="AF359" s="194"/>
      <c r="AG359" s="194"/>
      <c r="AH359" s="194"/>
      <c r="AI359" s="194"/>
      <c r="AJ359" s="194"/>
      <c r="AK359" s="195"/>
      <c r="AL359" s="164"/>
      <c r="AM359" s="164"/>
      <c r="AN359" s="164"/>
      <c r="AO359" s="164"/>
      <c r="AP359" s="164"/>
      <c r="AQ359" s="164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</row>
    <row r="360" spans="2:55" s="29" customFormat="1" ht="21" customHeight="1" x14ac:dyDescent="0.3">
      <c r="B360" s="161"/>
      <c r="C360" s="162"/>
      <c r="D360" s="162"/>
      <c r="E360" s="163"/>
      <c r="F360" s="192"/>
      <c r="G360" s="192"/>
      <c r="H360" s="192"/>
      <c r="I360" s="192"/>
      <c r="J360" s="186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8"/>
      <c r="V360" s="168"/>
      <c r="W360" s="169"/>
      <c r="X360" s="169"/>
      <c r="Y360" s="170"/>
      <c r="Z360" s="193"/>
      <c r="AA360" s="194"/>
      <c r="AB360" s="194"/>
      <c r="AC360" s="194"/>
      <c r="AD360" s="194"/>
      <c r="AE360" s="194"/>
      <c r="AF360" s="194"/>
      <c r="AG360" s="194"/>
      <c r="AH360" s="194"/>
      <c r="AI360" s="194"/>
      <c r="AJ360" s="194"/>
      <c r="AK360" s="195"/>
      <c r="AL360" s="164"/>
      <c r="AM360" s="164"/>
      <c r="AN360" s="164"/>
      <c r="AO360" s="164"/>
      <c r="AP360" s="164"/>
      <c r="AQ360" s="164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</row>
    <row r="361" spans="2:55" s="29" customFormat="1" ht="21" customHeight="1" x14ac:dyDescent="0.3">
      <c r="B361" s="161"/>
      <c r="C361" s="162"/>
      <c r="D361" s="162"/>
      <c r="E361" s="163"/>
      <c r="F361" s="192"/>
      <c r="G361" s="192"/>
      <c r="H361" s="192"/>
      <c r="I361" s="192"/>
      <c r="J361" s="186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8"/>
      <c r="V361" s="168"/>
      <c r="W361" s="169"/>
      <c r="X361" s="169"/>
      <c r="Y361" s="170"/>
      <c r="Z361" s="193"/>
      <c r="AA361" s="194"/>
      <c r="AB361" s="194"/>
      <c r="AC361" s="194"/>
      <c r="AD361" s="194"/>
      <c r="AE361" s="194"/>
      <c r="AF361" s="194"/>
      <c r="AG361" s="194"/>
      <c r="AH361" s="194"/>
      <c r="AI361" s="194"/>
      <c r="AJ361" s="194"/>
      <c r="AK361" s="195"/>
      <c r="AL361" s="164"/>
      <c r="AM361" s="164"/>
      <c r="AN361" s="164"/>
      <c r="AO361" s="164"/>
      <c r="AP361" s="164"/>
      <c r="AQ361" s="164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</row>
    <row r="362" spans="2:55" s="29" customFormat="1" ht="21" customHeight="1" x14ac:dyDescent="0.3">
      <c r="B362" s="161"/>
      <c r="C362" s="162"/>
      <c r="D362" s="162"/>
      <c r="E362" s="163"/>
      <c r="F362" s="192"/>
      <c r="G362" s="192"/>
      <c r="H362" s="192"/>
      <c r="I362" s="192"/>
      <c r="J362" s="189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1"/>
      <c r="V362" s="171"/>
      <c r="W362" s="172"/>
      <c r="X362" s="172"/>
      <c r="Y362" s="173"/>
      <c r="Z362" s="199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1"/>
      <c r="AL362" s="164"/>
      <c r="AM362" s="164"/>
      <c r="AN362" s="164"/>
      <c r="AO362" s="164"/>
      <c r="AP362" s="164"/>
      <c r="AQ362" s="164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</row>
    <row r="363" spans="2:55" s="29" customFormat="1" ht="21" customHeight="1" x14ac:dyDescent="0.3">
      <c r="B363" s="161"/>
      <c r="C363" s="162"/>
      <c r="D363" s="162"/>
      <c r="E363" s="163"/>
      <c r="F363" s="192"/>
      <c r="G363" s="192"/>
      <c r="H363" s="192"/>
      <c r="I363" s="192"/>
      <c r="J363" s="183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5"/>
      <c r="V363" s="165"/>
      <c r="W363" s="166"/>
      <c r="X363" s="166"/>
      <c r="Y363" s="167"/>
      <c r="Z363" s="196"/>
      <c r="AA363" s="197"/>
      <c r="AB363" s="197"/>
      <c r="AC363" s="197"/>
      <c r="AD363" s="197"/>
      <c r="AE363" s="197"/>
      <c r="AF363" s="197"/>
      <c r="AG363" s="197"/>
      <c r="AH363" s="197"/>
      <c r="AI363" s="197"/>
      <c r="AJ363" s="197"/>
      <c r="AK363" s="198"/>
      <c r="AL363" s="164"/>
      <c r="AM363" s="164"/>
      <c r="AN363" s="164"/>
      <c r="AO363" s="164"/>
      <c r="AP363" s="164"/>
      <c r="AQ363" s="164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</row>
    <row r="364" spans="2:55" s="29" customFormat="1" ht="21" customHeight="1" x14ac:dyDescent="0.3">
      <c r="B364" s="161"/>
      <c r="C364" s="162"/>
      <c r="D364" s="162"/>
      <c r="E364" s="163"/>
      <c r="F364" s="192"/>
      <c r="G364" s="192"/>
      <c r="H364" s="192"/>
      <c r="I364" s="192"/>
      <c r="J364" s="186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8"/>
      <c r="V364" s="168"/>
      <c r="W364" s="169"/>
      <c r="X364" s="169"/>
      <c r="Y364" s="170"/>
      <c r="Z364" s="193"/>
      <c r="AA364" s="194"/>
      <c r="AB364" s="194"/>
      <c r="AC364" s="194"/>
      <c r="AD364" s="194"/>
      <c r="AE364" s="194"/>
      <c r="AF364" s="194"/>
      <c r="AG364" s="194"/>
      <c r="AH364" s="194"/>
      <c r="AI364" s="194"/>
      <c r="AJ364" s="194"/>
      <c r="AK364" s="195"/>
      <c r="AL364" s="164"/>
      <c r="AM364" s="164"/>
      <c r="AN364" s="164"/>
      <c r="AO364" s="164"/>
      <c r="AP364" s="164"/>
      <c r="AQ364" s="164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</row>
    <row r="365" spans="2:55" s="29" customFormat="1" ht="21" customHeight="1" x14ac:dyDescent="0.3">
      <c r="B365" s="161"/>
      <c r="C365" s="162"/>
      <c r="D365" s="162"/>
      <c r="E365" s="163"/>
      <c r="F365" s="192"/>
      <c r="G365" s="192"/>
      <c r="H365" s="192"/>
      <c r="I365" s="192"/>
      <c r="J365" s="186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8"/>
      <c r="V365" s="168"/>
      <c r="W365" s="169"/>
      <c r="X365" s="169"/>
      <c r="Y365" s="170"/>
      <c r="Z365" s="193"/>
      <c r="AA365" s="194"/>
      <c r="AB365" s="194"/>
      <c r="AC365" s="194"/>
      <c r="AD365" s="194"/>
      <c r="AE365" s="194"/>
      <c r="AF365" s="194"/>
      <c r="AG365" s="194"/>
      <c r="AH365" s="194"/>
      <c r="AI365" s="194"/>
      <c r="AJ365" s="194"/>
      <c r="AK365" s="195"/>
      <c r="AL365" s="164"/>
      <c r="AM365" s="164"/>
      <c r="AN365" s="164"/>
      <c r="AO365" s="164"/>
      <c r="AP365" s="164"/>
      <c r="AQ365" s="164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</row>
    <row r="366" spans="2:55" s="29" customFormat="1" ht="21" customHeight="1" x14ac:dyDescent="0.3">
      <c r="B366" s="161"/>
      <c r="C366" s="162"/>
      <c r="D366" s="162"/>
      <c r="E366" s="163"/>
      <c r="F366" s="192"/>
      <c r="G366" s="192"/>
      <c r="H366" s="192"/>
      <c r="I366" s="192"/>
      <c r="J366" s="186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8"/>
      <c r="V366" s="168"/>
      <c r="W366" s="169"/>
      <c r="X366" s="169"/>
      <c r="Y366" s="170"/>
      <c r="Z366" s="193"/>
      <c r="AA366" s="194"/>
      <c r="AB366" s="194"/>
      <c r="AC366" s="194"/>
      <c r="AD366" s="194"/>
      <c r="AE366" s="194"/>
      <c r="AF366" s="194"/>
      <c r="AG366" s="194"/>
      <c r="AH366" s="194"/>
      <c r="AI366" s="194"/>
      <c r="AJ366" s="194"/>
      <c r="AK366" s="195"/>
      <c r="AL366" s="164"/>
      <c r="AM366" s="164"/>
      <c r="AN366" s="164"/>
      <c r="AO366" s="164"/>
      <c r="AP366" s="164"/>
      <c r="AQ366" s="164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</row>
    <row r="367" spans="2:55" s="29" customFormat="1" ht="21" customHeight="1" x14ac:dyDescent="0.3">
      <c r="B367" s="161"/>
      <c r="C367" s="162"/>
      <c r="D367" s="162"/>
      <c r="E367" s="163"/>
      <c r="F367" s="192"/>
      <c r="G367" s="192"/>
      <c r="H367" s="192"/>
      <c r="I367" s="192"/>
      <c r="J367" s="186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8"/>
      <c r="V367" s="168"/>
      <c r="W367" s="169"/>
      <c r="X367" s="169"/>
      <c r="Y367" s="170"/>
      <c r="Z367" s="193"/>
      <c r="AA367" s="194"/>
      <c r="AB367" s="194"/>
      <c r="AC367" s="194"/>
      <c r="AD367" s="194"/>
      <c r="AE367" s="194"/>
      <c r="AF367" s="194"/>
      <c r="AG367" s="194"/>
      <c r="AH367" s="194"/>
      <c r="AI367" s="194"/>
      <c r="AJ367" s="194"/>
      <c r="AK367" s="195"/>
      <c r="AL367" s="164"/>
      <c r="AM367" s="164"/>
      <c r="AN367" s="164"/>
      <c r="AO367" s="164"/>
      <c r="AP367" s="164"/>
      <c r="AQ367" s="164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</row>
    <row r="368" spans="2:55" s="29" customFormat="1" ht="21" customHeight="1" x14ac:dyDescent="0.3">
      <c r="B368" s="161"/>
      <c r="C368" s="162"/>
      <c r="D368" s="162"/>
      <c r="E368" s="163"/>
      <c r="F368" s="192"/>
      <c r="G368" s="192"/>
      <c r="H368" s="192"/>
      <c r="I368" s="192"/>
      <c r="J368" s="186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8"/>
      <c r="V368" s="168"/>
      <c r="W368" s="169"/>
      <c r="X368" s="169"/>
      <c r="Y368" s="170"/>
      <c r="Z368" s="193"/>
      <c r="AA368" s="194"/>
      <c r="AB368" s="194"/>
      <c r="AC368" s="194"/>
      <c r="AD368" s="194"/>
      <c r="AE368" s="194"/>
      <c r="AF368" s="194"/>
      <c r="AG368" s="194"/>
      <c r="AH368" s="194"/>
      <c r="AI368" s="194"/>
      <c r="AJ368" s="194"/>
      <c r="AK368" s="195"/>
      <c r="AL368" s="164"/>
      <c r="AM368" s="164"/>
      <c r="AN368" s="164"/>
      <c r="AO368" s="164"/>
      <c r="AP368" s="164"/>
      <c r="AQ368" s="164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</row>
    <row r="369" spans="2:55" s="29" customFormat="1" ht="21" customHeight="1" x14ac:dyDescent="0.3">
      <c r="B369" s="161"/>
      <c r="C369" s="162"/>
      <c r="D369" s="162"/>
      <c r="E369" s="163"/>
      <c r="F369" s="192"/>
      <c r="G369" s="192"/>
      <c r="H369" s="192"/>
      <c r="I369" s="192"/>
      <c r="J369" s="186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8"/>
      <c r="V369" s="168"/>
      <c r="W369" s="169"/>
      <c r="X369" s="169"/>
      <c r="Y369" s="170"/>
      <c r="Z369" s="193"/>
      <c r="AA369" s="194"/>
      <c r="AB369" s="194"/>
      <c r="AC369" s="194"/>
      <c r="AD369" s="194"/>
      <c r="AE369" s="194"/>
      <c r="AF369" s="194"/>
      <c r="AG369" s="194"/>
      <c r="AH369" s="194"/>
      <c r="AI369" s="194"/>
      <c r="AJ369" s="194"/>
      <c r="AK369" s="195"/>
      <c r="AL369" s="164"/>
      <c r="AM369" s="164"/>
      <c r="AN369" s="164"/>
      <c r="AO369" s="164"/>
      <c r="AP369" s="164"/>
      <c r="AQ369" s="164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</row>
    <row r="370" spans="2:55" s="29" customFormat="1" ht="21" customHeight="1" x14ac:dyDescent="0.3">
      <c r="B370" s="161"/>
      <c r="C370" s="162"/>
      <c r="D370" s="162"/>
      <c r="E370" s="163"/>
      <c r="F370" s="192"/>
      <c r="G370" s="192"/>
      <c r="H370" s="192"/>
      <c r="I370" s="192"/>
      <c r="J370" s="189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1"/>
      <c r="V370" s="171"/>
      <c r="W370" s="172"/>
      <c r="X370" s="172"/>
      <c r="Y370" s="173"/>
      <c r="Z370" s="199"/>
      <c r="AA370" s="200"/>
      <c r="AB370" s="200"/>
      <c r="AC370" s="200"/>
      <c r="AD370" s="200"/>
      <c r="AE370" s="200"/>
      <c r="AF370" s="200"/>
      <c r="AG370" s="200"/>
      <c r="AH370" s="200"/>
      <c r="AI370" s="200"/>
      <c r="AJ370" s="200"/>
      <c r="AK370" s="201"/>
      <c r="AL370" s="164"/>
      <c r="AM370" s="164"/>
      <c r="AN370" s="164"/>
      <c r="AO370" s="164"/>
      <c r="AP370" s="164"/>
      <c r="AQ370" s="164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</row>
    <row r="371" spans="2:55" s="29" customFormat="1" ht="21" customHeight="1" x14ac:dyDescent="0.3">
      <c r="B371" s="161"/>
      <c r="C371" s="162"/>
      <c r="D371" s="162"/>
      <c r="E371" s="163"/>
      <c r="F371" s="192"/>
      <c r="G371" s="192"/>
      <c r="H371" s="192"/>
      <c r="I371" s="192"/>
      <c r="J371" s="174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6"/>
      <c r="V371" s="165"/>
      <c r="W371" s="166"/>
      <c r="X371" s="166"/>
      <c r="Y371" s="167"/>
      <c r="Z371" s="196"/>
      <c r="AA371" s="197"/>
      <c r="AB371" s="197"/>
      <c r="AC371" s="197"/>
      <c r="AD371" s="197"/>
      <c r="AE371" s="197"/>
      <c r="AF371" s="197"/>
      <c r="AG371" s="197"/>
      <c r="AH371" s="197"/>
      <c r="AI371" s="197"/>
      <c r="AJ371" s="197"/>
      <c r="AK371" s="198"/>
      <c r="AL371" s="164"/>
      <c r="AM371" s="164"/>
      <c r="AN371" s="164"/>
      <c r="AO371" s="164"/>
      <c r="AP371" s="164"/>
      <c r="AQ371" s="164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</row>
    <row r="372" spans="2:55" s="29" customFormat="1" ht="21" customHeight="1" x14ac:dyDescent="0.3">
      <c r="B372" s="161"/>
      <c r="C372" s="162"/>
      <c r="D372" s="162"/>
      <c r="E372" s="163"/>
      <c r="F372" s="192"/>
      <c r="G372" s="192"/>
      <c r="H372" s="192"/>
      <c r="I372" s="192"/>
      <c r="J372" s="177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9"/>
      <c r="V372" s="168"/>
      <c r="W372" s="169"/>
      <c r="X372" s="169"/>
      <c r="Y372" s="170"/>
      <c r="Z372" s="193"/>
      <c r="AA372" s="194"/>
      <c r="AB372" s="194"/>
      <c r="AC372" s="194"/>
      <c r="AD372" s="194"/>
      <c r="AE372" s="194"/>
      <c r="AF372" s="194"/>
      <c r="AG372" s="194"/>
      <c r="AH372" s="194"/>
      <c r="AI372" s="194"/>
      <c r="AJ372" s="194"/>
      <c r="AK372" s="195"/>
      <c r="AL372" s="164"/>
      <c r="AM372" s="164"/>
      <c r="AN372" s="164"/>
      <c r="AO372" s="164"/>
      <c r="AP372" s="164"/>
      <c r="AQ372" s="164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</row>
    <row r="373" spans="2:55" s="29" customFormat="1" ht="21" customHeight="1" x14ac:dyDescent="0.3">
      <c r="B373" s="161"/>
      <c r="C373" s="162"/>
      <c r="D373" s="162"/>
      <c r="E373" s="163"/>
      <c r="F373" s="192"/>
      <c r="G373" s="192"/>
      <c r="H373" s="192"/>
      <c r="I373" s="192"/>
      <c r="J373" s="177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9"/>
      <c r="V373" s="168"/>
      <c r="W373" s="169"/>
      <c r="X373" s="169"/>
      <c r="Y373" s="170"/>
      <c r="Z373" s="193"/>
      <c r="AA373" s="194"/>
      <c r="AB373" s="194"/>
      <c r="AC373" s="194"/>
      <c r="AD373" s="194"/>
      <c r="AE373" s="194"/>
      <c r="AF373" s="194"/>
      <c r="AG373" s="194"/>
      <c r="AH373" s="194"/>
      <c r="AI373" s="194"/>
      <c r="AJ373" s="194"/>
      <c r="AK373" s="195"/>
      <c r="AL373" s="164"/>
      <c r="AM373" s="164"/>
      <c r="AN373" s="164"/>
      <c r="AO373" s="164"/>
      <c r="AP373" s="164"/>
      <c r="AQ373" s="164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</row>
    <row r="374" spans="2:55" s="29" customFormat="1" ht="21" customHeight="1" x14ac:dyDescent="0.3">
      <c r="B374" s="161"/>
      <c r="C374" s="162"/>
      <c r="D374" s="162"/>
      <c r="E374" s="163"/>
      <c r="F374" s="192"/>
      <c r="G374" s="192"/>
      <c r="H374" s="192"/>
      <c r="I374" s="192"/>
      <c r="J374" s="177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9"/>
      <c r="V374" s="168"/>
      <c r="W374" s="169"/>
      <c r="X374" s="169"/>
      <c r="Y374" s="170"/>
      <c r="Z374" s="193"/>
      <c r="AA374" s="194"/>
      <c r="AB374" s="194"/>
      <c r="AC374" s="194"/>
      <c r="AD374" s="194"/>
      <c r="AE374" s="194"/>
      <c r="AF374" s="194"/>
      <c r="AG374" s="194"/>
      <c r="AH374" s="194"/>
      <c r="AI374" s="194"/>
      <c r="AJ374" s="194"/>
      <c r="AK374" s="195"/>
      <c r="AL374" s="164"/>
      <c r="AM374" s="164"/>
      <c r="AN374" s="164"/>
      <c r="AO374" s="164"/>
      <c r="AP374" s="164"/>
      <c r="AQ374" s="164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</row>
    <row r="375" spans="2:55" s="29" customFormat="1" ht="21" customHeight="1" x14ac:dyDescent="0.3">
      <c r="B375" s="161"/>
      <c r="C375" s="162"/>
      <c r="D375" s="162"/>
      <c r="E375" s="163"/>
      <c r="F375" s="192"/>
      <c r="G375" s="192"/>
      <c r="H375" s="192"/>
      <c r="I375" s="192"/>
      <c r="J375" s="177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9"/>
      <c r="V375" s="168"/>
      <c r="W375" s="169"/>
      <c r="X375" s="169"/>
      <c r="Y375" s="170"/>
      <c r="Z375" s="193"/>
      <c r="AA375" s="194"/>
      <c r="AB375" s="194"/>
      <c r="AC375" s="194"/>
      <c r="AD375" s="194"/>
      <c r="AE375" s="194"/>
      <c r="AF375" s="194"/>
      <c r="AG375" s="194"/>
      <c r="AH375" s="194"/>
      <c r="AI375" s="194"/>
      <c r="AJ375" s="194"/>
      <c r="AK375" s="195"/>
      <c r="AL375" s="164"/>
      <c r="AM375" s="164"/>
      <c r="AN375" s="164"/>
      <c r="AO375" s="164"/>
      <c r="AP375" s="164"/>
      <c r="AQ375" s="164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</row>
    <row r="376" spans="2:55" s="29" customFormat="1" ht="21" customHeight="1" x14ac:dyDescent="0.3">
      <c r="B376" s="161"/>
      <c r="C376" s="162"/>
      <c r="D376" s="162"/>
      <c r="E376" s="163"/>
      <c r="F376" s="192"/>
      <c r="G376" s="192"/>
      <c r="H376" s="192"/>
      <c r="I376" s="192"/>
      <c r="J376" s="177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9"/>
      <c r="V376" s="168"/>
      <c r="W376" s="169"/>
      <c r="X376" s="169"/>
      <c r="Y376" s="170"/>
      <c r="Z376" s="193"/>
      <c r="AA376" s="194"/>
      <c r="AB376" s="194"/>
      <c r="AC376" s="194"/>
      <c r="AD376" s="194"/>
      <c r="AE376" s="194"/>
      <c r="AF376" s="194"/>
      <c r="AG376" s="194"/>
      <c r="AH376" s="194"/>
      <c r="AI376" s="194"/>
      <c r="AJ376" s="194"/>
      <c r="AK376" s="195"/>
      <c r="AL376" s="164"/>
      <c r="AM376" s="164"/>
      <c r="AN376" s="164"/>
      <c r="AO376" s="164"/>
      <c r="AP376" s="164"/>
      <c r="AQ376" s="164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</row>
    <row r="377" spans="2:55" s="29" customFormat="1" ht="21" customHeight="1" x14ac:dyDescent="0.3">
      <c r="B377" s="161"/>
      <c r="C377" s="162"/>
      <c r="D377" s="162"/>
      <c r="E377" s="163"/>
      <c r="F377" s="192"/>
      <c r="G377" s="192"/>
      <c r="H377" s="192"/>
      <c r="I377" s="192"/>
      <c r="J377" s="177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9"/>
      <c r="V377" s="168"/>
      <c r="W377" s="169"/>
      <c r="X377" s="169"/>
      <c r="Y377" s="170"/>
      <c r="Z377" s="193"/>
      <c r="AA377" s="194"/>
      <c r="AB377" s="194"/>
      <c r="AC377" s="194"/>
      <c r="AD377" s="194"/>
      <c r="AE377" s="194"/>
      <c r="AF377" s="194"/>
      <c r="AG377" s="194"/>
      <c r="AH377" s="194"/>
      <c r="AI377" s="194"/>
      <c r="AJ377" s="194"/>
      <c r="AK377" s="195"/>
      <c r="AL377" s="164"/>
      <c r="AM377" s="164"/>
      <c r="AN377" s="164"/>
      <c r="AO377" s="164"/>
      <c r="AP377" s="164"/>
      <c r="AQ377" s="164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</row>
    <row r="378" spans="2:55" s="29" customFormat="1" ht="21" customHeight="1" x14ac:dyDescent="0.3">
      <c r="B378" s="161"/>
      <c r="C378" s="162"/>
      <c r="D378" s="162"/>
      <c r="E378" s="163"/>
      <c r="F378" s="192"/>
      <c r="G378" s="192"/>
      <c r="H378" s="192"/>
      <c r="I378" s="192"/>
      <c r="J378" s="180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2"/>
      <c r="V378" s="171"/>
      <c r="W378" s="172"/>
      <c r="X378" s="172"/>
      <c r="Y378" s="173"/>
      <c r="Z378" s="199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  <c r="AK378" s="201"/>
      <c r="AL378" s="164"/>
      <c r="AM378" s="164"/>
      <c r="AN378" s="164"/>
      <c r="AO378" s="164"/>
      <c r="AP378" s="164"/>
      <c r="AQ378" s="164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</row>
    <row r="379" spans="2:55" s="29" customFormat="1" ht="21" customHeight="1" x14ac:dyDescent="0.3">
      <c r="B379" s="161"/>
      <c r="C379" s="162"/>
      <c r="D379" s="162"/>
      <c r="E379" s="163"/>
      <c r="F379" s="192"/>
      <c r="G379" s="192"/>
      <c r="H379" s="192"/>
      <c r="I379" s="192"/>
      <c r="J379" s="183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5"/>
      <c r="V379" s="165"/>
      <c r="W379" s="166"/>
      <c r="X379" s="166"/>
      <c r="Y379" s="167"/>
      <c r="Z379" s="196"/>
      <c r="AA379" s="197"/>
      <c r="AB379" s="197"/>
      <c r="AC379" s="197"/>
      <c r="AD379" s="197"/>
      <c r="AE379" s="197"/>
      <c r="AF379" s="197"/>
      <c r="AG379" s="197"/>
      <c r="AH379" s="197"/>
      <c r="AI379" s="197"/>
      <c r="AJ379" s="197"/>
      <c r="AK379" s="198"/>
      <c r="AL379" s="164"/>
      <c r="AM379" s="164"/>
      <c r="AN379" s="164"/>
      <c r="AO379" s="164"/>
      <c r="AP379" s="164"/>
      <c r="AQ379" s="164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</row>
    <row r="380" spans="2:55" s="29" customFormat="1" ht="21" customHeight="1" x14ac:dyDescent="0.3">
      <c r="B380" s="161"/>
      <c r="C380" s="162"/>
      <c r="D380" s="162"/>
      <c r="E380" s="163"/>
      <c r="F380" s="192"/>
      <c r="G380" s="192"/>
      <c r="H380" s="192"/>
      <c r="I380" s="192"/>
      <c r="J380" s="186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8"/>
      <c r="V380" s="168"/>
      <c r="W380" s="169"/>
      <c r="X380" s="169"/>
      <c r="Y380" s="170"/>
      <c r="Z380" s="193"/>
      <c r="AA380" s="194"/>
      <c r="AB380" s="194"/>
      <c r="AC380" s="194"/>
      <c r="AD380" s="194"/>
      <c r="AE380" s="194"/>
      <c r="AF380" s="194"/>
      <c r="AG380" s="194"/>
      <c r="AH380" s="194"/>
      <c r="AI380" s="194"/>
      <c r="AJ380" s="194"/>
      <c r="AK380" s="195"/>
      <c r="AL380" s="164"/>
      <c r="AM380" s="164"/>
      <c r="AN380" s="164"/>
      <c r="AO380" s="164"/>
      <c r="AP380" s="164"/>
      <c r="AQ380" s="164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</row>
    <row r="381" spans="2:55" s="29" customFormat="1" ht="21" customHeight="1" x14ac:dyDescent="0.3">
      <c r="B381" s="161"/>
      <c r="C381" s="162"/>
      <c r="D381" s="162"/>
      <c r="E381" s="163"/>
      <c r="F381" s="192"/>
      <c r="G381" s="192"/>
      <c r="H381" s="192"/>
      <c r="I381" s="192"/>
      <c r="J381" s="186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8"/>
      <c r="V381" s="168"/>
      <c r="W381" s="169"/>
      <c r="X381" s="169"/>
      <c r="Y381" s="170"/>
      <c r="Z381" s="193"/>
      <c r="AA381" s="194"/>
      <c r="AB381" s="194"/>
      <c r="AC381" s="194"/>
      <c r="AD381" s="194"/>
      <c r="AE381" s="194"/>
      <c r="AF381" s="194"/>
      <c r="AG381" s="194"/>
      <c r="AH381" s="194"/>
      <c r="AI381" s="194"/>
      <c r="AJ381" s="194"/>
      <c r="AK381" s="195"/>
      <c r="AL381" s="164"/>
      <c r="AM381" s="164"/>
      <c r="AN381" s="164"/>
      <c r="AO381" s="164"/>
      <c r="AP381" s="164"/>
      <c r="AQ381" s="164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</row>
    <row r="382" spans="2:55" s="29" customFormat="1" ht="21" customHeight="1" x14ac:dyDescent="0.3">
      <c r="B382" s="161"/>
      <c r="C382" s="162"/>
      <c r="D382" s="162"/>
      <c r="E382" s="163"/>
      <c r="F382" s="192"/>
      <c r="G382" s="192"/>
      <c r="H382" s="192"/>
      <c r="I382" s="192"/>
      <c r="J382" s="186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8"/>
      <c r="V382" s="168"/>
      <c r="W382" s="169"/>
      <c r="X382" s="169"/>
      <c r="Y382" s="170"/>
      <c r="Z382" s="193"/>
      <c r="AA382" s="194"/>
      <c r="AB382" s="194"/>
      <c r="AC382" s="194"/>
      <c r="AD382" s="194"/>
      <c r="AE382" s="194"/>
      <c r="AF382" s="194"/>
      <c r="AG382" s="194"/>
      <c r="AH382" s="194"/>
      <c r="AI382" s="194"/>
      <c r="AJ382" s="194"/>
      <c r="AK382" s="195"/>
      <c r="AL382" s="164"/>
      <c r="AM382" s="164"/>
      <c r="AN382" s="164"/>
      <c r="AO382" s="164"/>
      <c r="AP382" s="164"/>
      <c r="AQ382" s="164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</row>
    <row r="383" spans="2:55" s="29" customFormat="1" ht="21" customHeight="1" x14ac:dyDescent="0.3">
      <c r="B383" s="161"/>
      <c r="C383" s="162"/>
      <c r="D383" s="162"/>
      <c r="E383" s="163"/>
      <c r="F383" s="192"/>
      <c r="G383" s="192"/>
      <c r="H383" s="192"/>
      <c r="I383" s="192"/>
      <c r="J383" s="186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8"/>
      <c r="V383" s="168"/>
      <c r="W383" s="169"/>
      <c r="X383" s="169"/>
      <c r="Y383" s="170"/>
      <c r="Z383" s="193"/>
      <c r="AA383" s="194"/>
      <c r="AB383" s="194"/>
      <c r="AC383" s="194"/>
      <c r="AD383" s="194"/>
      <c r="AE383" s="194"/>
      <c r="AF383" s="194"/>
      <c r="AG383" s="194"/>
      <c r="AH383" s="194"/>
      <c r="AI383" s="194"/>
      <c r="AJ383" s="194"/>
      <c r="AK383" s="195"/>
      <c r="AL383" s="164"/>
      <c r="AM383" s="164"/>
      <c r="AN383" s="164"/>
      <c r="AO383" s="164"/>
      <c r="AP383" s="164"/>
      <c r="AQ383" s="164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</row>
    <row r="384" spans="2:55" s="29" customFormat="1" ht="21" customHeight="1" x14ac:dyDescent="0.3">
      <c r="B384" s="161"/>
      <c r="C384" s="162"/>
      <c r="D384" s="162"/>
      <c r="E384" s="163"/>
      <c r="F384" s="192"/>
      <c r="G384" s="192"/>
      <c r="H384" s="192"/>
      <c r="I384" s="192"/>
      <c r="J384" s="186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8"/>
      <c r="V384" s="168"/>
      <c r="W384" s="169"/>
      <c r="X384" s="169"/>
      <c r="Y384" s="170"/>
      <c r="Z384" s="193"/>
      <c r="AA384" s="194"/>
      <c r="AB384" s="194"/>
      <c r="AC384" s="194"/>
      <c r="AD384" s="194"/>
      <c r="AE384" s="194"/>
      <c r="AF384" s="194"/>
      <c r="AG384" s="194"/>
      <c r="AH384" s="194"/>
      <c r="AI384" s="194"/>
      <c r="AJ384" s="194"/>
      <c r="AK384" s="195"/>
      <c r="AL384" s="164"/>
      <c r="AM384" s="164"/>
      <c r="AN384" s="164"/>
      <c r="AO384" s="164"/>
      <c r="AP384" s="164"/>
      <c r="AQ384" s="164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</row>
    <row r="385" spans="2:55" s="29" customFormat="1" ht="21" customHeight="1" x14ac:dyDescent="0.3">
      <c r="B385" s="161"/>
      <c r="C385" s="162"/>
      <c r="D385" s="162"/>
      <c r="E385" s="163"/>
      <c r="F385" s="192"/>
      <c r="G385" s="192"/>
      <c r="H385" s="192"/>
      <c r="I385" s="192"/>
      <c r="J385" s="186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8"/>
      <c r="V385" s="168"/>
      <c r="W385" s="169"/>
      <c r="X385" s="169"/>
      <c r="Y385" s="170"/>
      <c r="Z385" s="193"/>
      <c r="AA385" s="194"/>
      <c r="AB385" s="194"/>
      <c r="AC385" s="194"/>
      <c r="AD385" s="194"/>
      <c r="AE385" s="194"/>
      <c r="AF385" s="194"/>
      <c r="AG385" s="194"/>
      <c r="AH385" s="194"/>
      <c r="AI385" s="194"/>
      <c r="AJ385" s="194"/>
      <c r="AK385" s="195"/>
      <c r="AL385" s="164"/>
      <c r="AM385" s="164"/>
      <c r="AN385" s="164"/>
      <c r="AO385" s="164"/>
      <c r="AP385" s="164"/>
      <c r="AQ385" s="164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</row>
    <row r="386" spans="2:55" s="29" customFormat="1" ht="21" customHeight="1" x14ac:dyDescent="0.3">
      <c r="B386" s="161"/>
      <c r="C386" s="162"/>
      <c r="D386" s="162"/>
      <c r="E386" s="163"/>
      <c r="F386" s="192"/>
      <c r="G386" s="192"/>
      <c r="H386" s="192"/>
      <c r="I386" s="192"/>
      <c r="J386" s="189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1"/>
      <c r="V386" s="171"/>
      <c r="W386" s="172"/>
      <c r="X386" s="172"/>
      <c r="Y386" s="173"/>
      <c r="Z386" s="199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1"/>
      <c r="AL386" s="164"/>
      <c r="AM386" s="164"/>
      <c r="AN386" s="164"/>
      <c r="AO386" s="164"/>
      <c r="AP386" s="164"/>
      <c r="AQ386" s="164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</row>
    <row r="387" spans="2:55" s="29" customFormat="1" ht="21" customHeight="1" x14ac:dyDescent="0.3">
      <c r="B387" s="161"/>
      <c r="C387" s="162"/>
      <c r="D387" s="162"/>
      <c r="E387" s="163"/>
      <c r="F387" s="192"/>
      <c r="G387" s="192"/>
      <c r="H387" s="192"/>
      <c r="I387" s="192"/>
      <c r="J387" s="183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5"/>
      <c r="V387" s="165"/>
      <c r="W387" s="166"/>
      <c r="X387" s="166"/>
      <c r="Y387" s="167"/>
      <c r="Z387" s="196"/>
      <c r="AA387" s="197"/>
      <c r="AB387" s="197"/>
      <c r="AC387" s="197"/>
      <c r="AD387" s="197"/>
      <c r="AE387" s="197"/>
      <c r="AF387" s="197"/>
      <c r="AG387" s="197"/>
      <c r="AH387" s="197"/>
      <c r="AI387" s="197"/>
      <c r="AJ387" s="197"/>
      <c r="AK387" s="198"/>
      <c r="AL387" s="164"/>
      <c r="AM387" s="164"/>
      <c r="AN387" s="164"/>
      <c r="AO387" s="164"/>
      <c r="AP387" s="164"/>
      <c r="AQ387" s="164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</row>
    <row r="388" spans="2:55" s="29" customFormat="1" ht="21" customHeight="1" x14ac:dyDescent="0.3">
      <c r="B388" s="161"/>
      <c r="C388" s="162"/>
      <c r="D388" s="162"/>
      <c r="E388" s="163"/>
      <c r="F388" s="192"/>
      <c r="G388" s="192"/>
      <c r="H388" s="192"/>
      <c r="I388" s="192"/>
      <c r="J388" s="186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8"/>
      <c r="V388" s="168"/>
      <c r="W388" s="169"/>
      <c r="X388" s="169"/>
      <c r="Y388" s="170"/>
      <c r="Z388" s="193"/>
      <c r="AA388" s="194"/>
      <c r="AB388" s="194"/>
      <c r="AC388" s="194"/>
      <c r="AD388" s="194"/>
      <c r="AE388" s="194"/>
      <c r="AF388" s="194"/>
      <c r="AG388" s="194"/>
      <c r="AH388" s="194"/>
      <c r="AI388" s="194"/>
      <c r="AJ388" s="194"/>
      <c r="AK388" s="195"/>
      <c r="AL388" s="164"/>
      <c r="AM388" s="164"/>
      <c r="AN388" s="164"/>
      <c r="AO388" s="164"/>
      <c r="AP388" s="164"/>
      <c r="AQ388" s="164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</row>
    <row r="389" spans="2:55" s="29" customFormat="1" ht="21" customHeight="1" x14ac:dyDescent="0.3">
      <c r="B389" s="161"/>
      <c r="C389" s="162"/>
      <c r="D389" s="162"/>
      <c r="E389" s="163"/>
      <c r="F389" s="192"/>
      <c r="G389" s="192"/>
      <c r="H389" s="192"/>
      <c r="I389" s="192"/>
      <c r="J389" s="186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8"/>
      <c r="V389" s="168"/>
      <c r="W389" s="169"/>
      <c r="X389" s="169"/>
      <c r="Y389" s="170"/>
      <c r="Z389" s="193"/>
      <c r="AA389" s="194"/>
      <c r="AB389" s="194"/>
      <c r="AC389" s="194"/>
      <c r="AD389" s="194"/>
      <c r="AE389" s="194"/>
      <c r="AF389" s="194"/>
      <c r="AG389" s="194"/>
      <c r="AH389" s="194"/>
      <c r="AI389" s="194"/>
      <c r="AJ389" s="194"/>
      <c r="AK389" s="195"/>
      <c r="AL389" s="164"/>
      <c r="AM389" s="164"/>
      <c r="AN389" s="164"/>
      <c r="AO389" s="164"/>
      <c r="AP389" s="164"/>
      <c r="AQ389" s="164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</row>
    <row r="390" spans="2:55" s="29" customFormat="1" ht="21" customHeight="1" x14ac:dyDescent="0.3">
      <c r="B390" s="161"/>
      <c r="C390" s="162"/>
      <c r="D390" s="162"/>
      <c r="E390" s="163"/>
      <c r="F390" s="192"/>
      <c r="G390" s="192"/>
      <c r="H390" s="192"/>
      <c r="I390" s="192"/>
      <c r="J390" s="186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8"/>
      <c r="V390" s="168"/>
      <c r="W390" s="169"/>
      <c r="X390" s="169"/>
      <c r="Y390" s="170"/>
      <c r="Z390" s="193"/>
      <c r="AA390" s="194"/>
      <c r="AB390" s="194"/>
      <c r="AC390" s="194"/>
      <c r="AD390" s="194"/>
      <c r="AE390" s="194"/>
      <c r="AF390" s="194"/>
      <c r="AG390" s="194"/>
      <c r="AH390" s="194"/>
      <c r="AI390" s="194"/>
      <c r="AJ390" s="194"/>
      <c r="AK390" s="195"/>
      <c r="AL390" s="164"/>
      <c r="AM390" s="164"/>
      <c r="AN390" s="164"/>
      <c r="AO390" s="164"/>
      <c r="AP390" s="164"/>
      <c r="AQ390" s="164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</row>
    <row r="391" spans="2:55" s="29" customFormat="1" ht="21" customHeight="1" x14ac:dyDescent="0.3">
      <c r="B391" s="161"/>
      <c r="C391" s="162"/>
      <c r="D391" s="162"/>
      <c r="E391" s="163"/>
      <c r="F391" s="192"/>
      <c r="G391" s="192"/>
      <c r="H391" s="192"/>
      <c r="I391" s="192"/>
      <c r="J391" s="186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8"/>
      <c r="V391" s="168"/>
      <c r="W391" s="169"/>
      <c r="X391" s="169"/>
      <c r="Y391" s="170"/>
      <c r="Z391" s="193"/>
      <c r="AA391" s="194"/>
      <c r="AB391" s="194"/>
      <c r="AC391" s="194"/>
      <c r="AD391" s="194"/>
      <c r="AE391" s="194"/>
      <c r="AF391" s="194"/>
      <c r="AG391" s="194"/>
      <c r="AH391" s="194"/>
      <c r="AI391" s="194"/>
      <c r="AJ391" s="194"/>
      <c r="AK391" s="195"/>
      <c r="AL391" s="164"/>
      <c r="AM391" s="164"/>
      <c r="AN391" s="164"/>
      <c r="AO391" s="164"/>
      <c r="AP391" s="164"/>
      <c r="AQ391" s="164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</row>
    <row r="392" spans="2:55" s="29" customFormat="1" ht="21" customHeight="1" x14ac:dyDescent="0.3">
      <c r="B392" s="161"/>
      <c r="C392" s="162"/>
      <c r="D392" s="162"/>
      <c r="E392" s="163"/>
      <c r="F392" s="192"/>
      <c r="G392" s="192"/>
      <c r="H392" s="192"/>
      <c r="I392" s="192"/>
      <c r="J392" s="186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8"/>
      <c r="V392" s="168"/>
      <c r="W392" s="169"/>
      <c r="X392" s="169"/>
      <c r="Y392" s="170"/>
      <c r="Z392" s="193"/>
      <c r="AA392" s="194"/>
      <c r="AB392" s="194"/>
      <c r="AC392" s="194"/>
      <c r="AD392" s="194"/>
      <c r="AE392" s="194"/>
      <c r="AF392" s="194"/>
      <c r="AG392" s="194"/>
      <c r="AH392" s="194"/>
      <c r="AI392" s="194"/>
      <c r="AJ392" s="194"/>
      <c r="AK392" s="195"/>
      <c r="AL392" s="164"/>
      <c r="AM392" s="164"/>
      <c r="AN392" s="164"/>
      <c r="AO392" s="164"/>
      <c r="AP392" s="164"/>
      <c r="AQ392" s="164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</row>
    <row r="393" spans="2:55" s="29" customFormat="1" ht="21" customHeight="1" x14ac:dyDescent="0.3">
      <c r="B393" s="161"/>
      <c r="C393" s="162"/>
      <c r="D393" s="162"/>
      <c r="E393" s="163"/>
      <c r="F393" s="192"/>
      <c r="G393" s="192"/>
      <c r="H393" s="192"/>
      <c r="I393" s="192"/>
      <c r="J393" s="186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8"/>
      <c r="V393" s="168"/>
      <c r="W393" s="169"/>
      <c r="X393" s="169"/>
      <c r="Y393" s="170"/>
      <c r="Z393" s="193"/>
      <c r="AA393" s="194"/>
      <c r="AB393" s="194"/>
      <c r="AC393" s="194"/>
      <c r="AD393" s="194"/>
      <c r="AE393" s="194"/>
      <c r="AF393" s="194"/>
      <c r="AG393" s="194"/>
      <c r="AH393" s="194"/>
      <c r="AI393" s="194"/>
      <c r="AJ393" s="194"/>
      <c r="AK393" s="195"/>
      <c r="AL393" s="164"/>
      <c r="AM393" s="164"/>
      <c r="AN393" s="164"/>
      <c r="AO393" s="164"/>
      <c r="AP393" s="164"/>
      <c r="AQ393" s="164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</row>
    <row r="394" spans="2:55" s="29" customFormat="1" ht="21" customHeight="1" x14ac:dyDescent="0.3">
      <c r="B394" s="161"/>
      <c r="C394" s="162"/>
      <c r="D394" s="162"/>
      <c r="E394" s="163"/>
      <c r="F394" s="192"/>
      <c r="G394" s="192"/>
      <c r="H394" s="192"/>
      <c r="I394" s="192"/>
      <c r="J394" s="189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1"/>
      <c r="V394" s="171"/>
      <c r="W394" s="172"/>
      <c r="X394" s="172"/>
      <c r="Y394" s="173"/>
      <c r="Z394" s="199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1"/>
      <c r="AL394" s="164"/>
      <c r="AM394" s="164"/>
      <c r="AN394" s="164"/>
      <c r="AO394" s="164"/>
      <c r="AP394" s="164"/>
      <c r="AQ394" s="164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</row>
    <row r="395" spans="2:55" s="29" customFormat="1" ht="21" customHeight="1" x14ac:dyDescent="0.3">
      <c r="B395" s="161"/>
      <c r="C395" s="162"/>
      <c r="D395" s="162"/>
      <c r="E395" s="163"/>
      <c r="F395" s="192"/>
      <c r="G395" s="192"/>
      <c r="H395" s="192"/>
      <c r="I395" s="192"/>
      <c r="J395" s="183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5"/>
      <c r="V395" s="165"/>
      <c r="W395" s="166"/>
      <c r="X395" s="166"/>
      <c r="Y395" s="167"/>
      <c r="Z395" s="196"/>
      <c r="AA395" s="197"/>
      <c r="AB395" s="197"/>
      <c r="AC395" s="197"/>
      <c r="AD395" s="197"/>
      <c r="AE395" s="197"/>
      <c r="AF395" s="197"/>
      <c r="AG395" s="197"/>
      <c r="AH395" s="197"/>
      <c r="AI395" s="197"/>
      <c r="AJ395" s="197"/>
      <c r="AK395" s="198"/>
      <c r="AL395" s="164"/>
      <c r="AM395" s="164"/>
      <c r="AN395" s="164"/>
      <c r="AO395" s="164"/>
      <c r="AP395" s="164"/>
      <c r="AQ395" s="164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</row>
    <row r="396" spans="2:55" s="29" customFormat="1" ht="21" customHeight="1" x14ac:dyDescent="0.3">
      <c r="B396" s="161"/>
      <c r="C396" s="162"/>
      <c r="D396" s="162"/>
      <c r="E396" s="163"/>
      <c r="F396" s="192"/>
      <c r="G396" s="192"/>
      <c r="H396" s="192"/>
      <c r="I396" s="192"/>
      <c r="J396" s="186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8"/>
      <c r="V396" s="168"/>
      <c r="W396" s="169"/>
      <c r="X396" s="169"/>
      <c r="Y396" s="170"/>
      <c r="Z396" s="193"/>
      <c r="AA396" s="194"/>
      <c r="AB396" s="194"/>
      <c r="AC396" s="194"/>
      <c r="AD396" s="194"/>
      <c r="AE396" s="194"/>
      <c r="AF396" s="194"/>
      <c r="AG396" s="194"/>
      <c r="AH396" s="194"/>
      <c r="AI396" s="194"/>
      <c r="AJ396" s="194"/>
      <c r="AK396" s="195"/>
      <c r="AL396" s="164"/>
      <c r="AM396" s="164"/>
      <c r="AN396" s="164"/>
      <c r="AO396" s="164"/>
      <c r="AP396" s="164"/>
      <c r="AQ396" s="164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</row>
    <row r="397" spans="2:55" s="29" customFormat="1" ht="21" customHeight="1" x14ac:dyDescent="0.3">
      <c r="B397" s="161"/>
      <c r="C397" s="162"/>
      <c r="D397" s="162"/>
      <c r="E397" s="163"/>
      <c r="F397" s="192"/>
      <c r="G397" s="192"/>
      <c r="H397" s="192"/>
      <c r="I397" s="192"/>
      <c r="J397" s="186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8"/>
      <c r="V397" s="168"/>
      <c r="W397" s="169"/>
      <c r="X397" s="169"/>
      <c r="Y397" s="170"/>
      <c r="Z397" s="193"/>
      <c r="AA397" s="194"/>
      <c r="AB397" s="194"/>
      <c r="AC397" s="194"/>
      <c r="AD397" s="194"/>
      <c r="AE397" s="194"/>
      <c r="AF397" s="194"/>
      <c r="AG397" s="194"/>
      <c r="AH397" s="194"/>
      <c r="AI397" s="194"/>
      <c r="AJ397" s="194"/>
      <c r="AK397" s="195"/>
      <c r="AL397" s="164"/>
      <c r="AM397" s="164"/>
      <c r="AN397" s="164"/>
      <c r="AO397" s="164"/>
      <c r="AP397" s="164"/>
      <c r="AQ397" s="164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</row>
    <row r="398" spans="2:55" s="29" customFormat="1" ht="21" customHeight="1" x14ac:dyDescent="0.3">
      <c r="B398" s="161"/>
      <c r="C398" s="162"/>
      <c r="D398" s="162"/>
      <c r="E398" s="163"/>
      <c r="F398" s="192"/>
      <c r="G398" s="192"/>
      <c r="H398" s="192"/>
      <c r="I398" s="192"/>
      <c r="J398" s="186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8"/>
      <c r="V398" s="168"/>
      <c r="W398" s="169"/>
      <c r="X398" s="169"/>
      <c r="Y398" s="170"/>
      <c r="Z398" s="193"/>
      <c r="AA398" s="194"/>
      <c r="AB398" s="194"/>
      <c r="AC398" s="194"/>
      <c r="AD398" s="194"/>
      <c r="AE398" s="194"/>
      <c r="AF398" s="194"/>
      <c r="AG398" s="194"/>
      <c r="AH398" s="194"/>
      <c r="AI398" s="194"/>
      <c r="AJ398" s="194"/>
      <c r="AK398" s="195"/>
      <c r="AL398" s="164"/>
      <c r="AM398" s="164"/>
      <c r="AN398" s="164"/>
      <c r="AO398" s="164"/>
      <c r="AP398" s="164"/>
      <c r="AQ398" s="164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</row>
    <row r="399" spans="2:55" s="29" customFormat="1" ht="21" customHeight="1" x14ac:dyDescent="0.3">
      <c r="B399" s="161"/>
      <c r="C399" s="162"/>
      <c r="D399" s="162"/>
      <c r="E399" s="163"/>
      <c r="F399" s="192"/>
      <c r="G399" s="192"/>
      <c r="H399" s="192"/>
      <c r="I399" s="192"/>
      <c r="J399" s="186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8"/>
      <c r="V399" s="168"/>
      <c r="W399" s="169"/>
      <c r="X399" s="169"/>
      <c r="Y399" s="170"/>
      <c r="Z399" s="193"/>
      <c r="AA399" s="194"/>
      <c r="AB399" s="194"/>
      <c r="AC399" s="194"/>
      <c r="AD399" s="194"/>
      <c r="AE399" s="194"/>
      <c r="AF399" s="194"/>
      <c r="AG399" s="194"/>
      <c r="AH399" s="194"/>
      <c r="AI399" s="194"/>
      <c r="AJ399" s="194"/>
      <c r="AK399" s="195"/>
      <c r="AL399" s="164"/>
      <c r="AM399" s="164"/>
      <c r="AN399" s="164"/>
      <c r="AO399" s="164"/>
      <c r="AP399" s="164"/>
      <c r="AQ399" s="164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</row>
    <row r="400" spans="2:55" s="29" customFormat="1" ht="21" customHeight="1" x14ac:dyDescent="0.3">
      <c r="B400" s="161"/>
      <c r="C400" s="162"/>
      <c r="D400" s="162"/>
      <c r="E400" s="163"/>
      <c r="F400" s="192"/>
      <c r="G400" s="192"/>
      <c r="H400" s="192"/>
      <c r="I400" s="192"/>
      <c r="J400" s="186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8"/>
      <c r="V400" s="168"/>
      <c r="W400" s="169"/>
      <c r="X400" s="169"/>
      <c r="Y400" s="170"/>
      <c r="Z400" s="193"/>
      <c r="AA400" s="194"/>
      <c r="AB400" s="194"/>
      <c r="AC400" s="194"/>
      <c r="AD400" s="194"/>
      <c r="AE400" s="194"/>
      <c r="AF400" s="194"/>
      <c r="AG400" s="194"/>
      <c r="AH400" s="194"/>
      <c r="AI400" s="194"/>
      <c r="AJ400" s="194"/>
      <c r="AK400" s="195"/>
      <c r="AL400" s="164"/>
      <c r="AM400" s="164"/>
      <c r="AN400" s="164"/>
      <c r="AO400" s="164"/>
      <c r="AP400" s="164"/>
      <c r="AQ400" s="164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</row>
    <row r="401" spans="2:55" s="29" customFormat="1" ht="21" customHeight="1" x14ac:dyDescent="0.3">
      <c r="B401" s="161"/>
      <c r="C401" s="162"/>
      <c r="D401" s="162"/>
      <c r="E401" s="163"/>
      <c r="F401" s="192"/>
      <c r="G401" s="192"/>
      <c r="H401" s="192"/>
      <c r="I401" s="192"/>
      <c r="J401" s="186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8"/>
      <c r="V401" s="168"/>
      <c r="W401" s="169"/>
      <c r="X401" s="169"/>
      <c r="Y401" s="170"/>
      <c r="Z401" s="193"/>
      <c r="AA401" s="194"/>
      <c r="AB401" s="194"/>
      <c r="AC401" s="194"/>
      <c r="AD401" s="194"/>
      <c r="AE401" s="194"/>
      <c r="AF401" s="194"/>
      <c r="AG401" s="194"/>
      <c r="AH401" s="194"/>
      <c r="AI401" s="194"/>
      <c r="AJ401" s="194"/>
      <c r="AK401" s="195"/>
      <c r="AL401" s="164"/>
      <c r="AM401" s="164"/>
      <c r="AN401" s="164"/>
      <c r="AO401" s="164"/>
      <c r="AP401" s="164"/>
      <c r="AQ401" s="164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</row>
    <row r="402" spans="2:55" s="29" customFormat="1" ht="21" customHeight="1" x14ac:dyDescent="0.3">
      <c r="B402" s="161"/>
      <c r="C402" s="162"/>
      <c r="D402" s="162"/>
      <c r="E402" s="163"/>
      <c r="F402" s="192"/>
      <c r="G402" s="192"/>
      <c r="H402" s="192"/>
      <c r="I402" s="192"/>
      <c r="J402" s="189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1"/>
      <c r="V402" s="171"/>
      <c r="W402" s="172"/>
      <c r="X402" s="172"/>
      <c r="Y402" s="173"/>
      <c r="Z402" s="199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1"/>
      <c r="AL402" s="164"/>
      <c r="AM402" s="164"/>
      <c r="AN402" s="164"/>
      <c r="AO402" s="164"/>
      <c r="AP402" s="164"/>
      <c r="AQ402" s="164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</row>
    <row r="403" spans="2:55" s="29" customFormat="1" ht="21" customHeight="1" x14ac:dyDescent="0.3">
      <c r="B403" s="161"/>
      <c r="C403" s="162"/>
      <c r="D403" s="162"/>
      <c r="E403" s="163"/>
      <c r="F403" s="192"/>
      <c r="G403" s="192"/>
      <c r="H403" s="192"/>
      <c r="I403" s="192"/>
      <c r="J403" s="183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5"/>
      <c r="V403" s="165"/>
      <c r="W403" s="166"/>
      <c r="X403" s="166"/>
      <c r="Y403" s="167"/>
      <c r="Z403" s="196"/>
      <c r="AA403" s="197"/>
      <c r="AB403" s="197"/>
      <c r="AC403" s="197"/>
      <c r="AD403" s="197"/>
      <c r="AE403" s="197"/>
      <c r="AF403" s="197"/>
      <c r="AG403" s="197"/>
      <c r="AH403" s="197"/>
      <c r="AI403" s="197"/>
      <c r="AJ403" s="197"/>
      <c r="AK403" s="198"/>
      <c r="AL403" s="164"/>
      <c r="AM403" s="164"/>
      <c r="AN403" s="164"/>
      <c r="AO403" s="164"/>
      <c r="AP403" s="164"/>
      <c r="AQ403" s="164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</row>
    <row r="404" spans="2:55" s="29" customFormat="1" ht="21" customHeight="1" x14ac:dyDescent="0.3">
      <c r="B404" s="161"/>
      <c r="C404" s="162"/>
      <c r="D404" s="162"/>
      <c r="E404" s="163"/>
      <c r="F404" s="192"/>
      <c r="G404" s="192"/>
      <c r="H404" s="192"/>
      <c r="I404" s="192"/>
      <c r="J404" s="186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8"/>
      <c r="V404" s="168"/>
      <c r="W404" s="169"/>
      <c r="X404" s="169"/>
      <c r="Y404" s="170"/>
      <c r="Z404" s="193"/>
      <c r="AA404" s="194"/>
      <c r="AB404" s="194"/>
      <c r="AC404" s="194"/>
      <c r="AD404" s="194"/>
      <c r="AE404" s="194"/>
      <c r="AF404" s="194"/>
      <c r="AG404" s="194"/>
      <c r="AH404" s="194"/>
      <c r="AI404" s="194"/>
      <c r="AJ404" s="194"/>
      <c r="AK404" s="195"/>
      <c r="AL404" s="164"/>
      <c r="AM404" s="164"/>
      <c r="AN404" s="164"/>
      <c r="AO404" s="164"/>
      <c r="AP404" s="164"/>
      <c r="AQ404" s="164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</row>
    <row r="405" spans="2:55" s="29" customFormat="1" ht="21" customHeight="1" x14ac:dyDescent="0.3">
      <c r="B405" s="161"/>
      <c r="C405" s="162"/>
      <c r="D405" s="162"/>
      <c r="E405" s="163"/>
      <c r="F405" s="192"/>
      <c r="G405" s="192"/>
      <c r="H405" s="192"/>
      <c r="I405" s="192"/>
      <c r="J405" s="186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8"/>
      <c r="V405" s="168"/>
      <c r="W405" s="169"/>
      <c r="X405" s="169"/>
      <c r="Y405" s="170"/>
      <c r="Z405" s="193"/>
      <c r="AA405" s="194"/>
      <c r="AB405" s="194"/>
      <c r="AC405" s="194"/>
      <c r="AD405" s="194"/>
      <c r="AE405" s="194"/>
      <c r="AF405" s="194"/>
      <c r="AG405" s="194"/>
      <c r="AH405" s="194"/>
      <c r="AI405" s="194"/>
      <c r="AJ405" s="194"/>
      <c r="AK405" s="195"/>
      <c r="AL405" s="164"/>
      <c r="AM405" s="164"/>
      <c r="AN405" s="164"/>
      <c r="AO405" s="164"/>
      <c r="AP405" s="164"/>
      <c r="AQ405" s="164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</row>
    <row r="406" spans="2:55" s="29" customFormat="1" ht="21" customHeight="1" x14ac:dyDescent="0.3">
      <c r="B406" s="161"/>
      <c r="C406" s="162"/>
      <c r="D406" s="162"/>
      <c r="E406" s="163"/>
      <c r="F406" s="192"/>
      <c r="G406" s="192"/>
      <c r="H406" s="192"/>
      <c r="I406" s="192"/>
      <c r="J406" s="186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8"/>
      <c r="V406" s="168"/>
      <c r="W406" s="169"/>
      <c r="X406" s="169"/>
      <c r="Y406" s="170"/>
      <c r="Z406" s="193"/>
      <c r="AA406" s="194"/>
      <c r="AB406" s="194"/>
      <c r="AC406" s="194"/>
      <c r="AD406" s="194"/>
      <c r="AE406" s="194"/>
      <c r="AF406" s="194"/>
      <c r="AG406" s="194"/>
      <c r="AH406" s="194"/>
      <c r="AI406" s="194"/>
      <c r="AJ406" s="194"/>
      <c r="AK406" s="195"/>
      <c r="AL406" s="164"/>
      <c r="AM406" s="164"/>
      <c r="AN406" s="164"/>
      <c r="AO406" s="164"/>
      <c r="AP406" s="164"/>
      <c r="AQ406" s="164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</row>
    <row r="407" spans="2:55" s="29" customFormat="1" ht="21" customHeight="1" x14ac:dyDescent="0.3">
      <c r="B407" s="161"/>
      <c r="C407" s="162"/>
      <c r="D407" s="162"/>
      <c r="E407" s="163"/>
      <c r="F407" s="192"/>
      <c r="G407" s="192"/>
      <c r="H407" s="192"/>
      <c r="I407" s="192"/>
      <c r="J407" s="186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8"/>
      <c r="V407" s="168"/>
      <c r="W407" s="169"/>
      <c r="X407" s="169"/>
      <c r="Y407" s="170"/>
      <c r="Z407" s="193"/>
      <c r="AA407" s="194"/>
      <c r="AB407" s="194"/>
      <c r="AC407" s="194"/>
      <c r="AD407" s="194"/>
      <c r="AE407" s="194"/>
      <c r="AF407" s="194"/>
      <c r="AG407" s="194"/>
      <c r="AH407" s="194"/>
      <c r="AI407" s="194"/>
      <c r="AJ407" s="194"/>
      <c r="AK407" s="195"/>
      <c r="AL407" s="164"/>
      <c r="AM407" s="164"/>
      <c r="AN407" s="164"/>
      <c r="AO407" s="164"/>
      <c r="AP407" s="164"/>
      <c r="AQ407" s="164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</row>
    <row r="408" spans="2:55" s="29" customFormat="1" ht="21" customHeight="1" x14ac:dyDescent="0.3">
      <c r="B408" s="161"/>
      <c r="C408" s="162"/>
      <c r="D408" s="162"/>
      <c r="E408" s="163"/>
      <c r="F408" s="192"/>
      <c r="G408" s="192"/>
      <c r="H408" s="192"/>
      <c r="I408" s="192"/>
      <c r="J408" s="186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8"/>
      <c r="V408" s="168"/>
      <c r="W408" s="169"/>
      <c r="X408" s="169"/>
      <c r="Y408" s="170"/>
      <c r="Z408" s="193"/>
      <c r="AA408" s="194"/>
      <c r="AB408" s="194"/>
      <c r="AC408" s="194"/>
      <c r="AD408" s="194"/>
      <c r="AE408" s="194"/>
      <c r="AF408" s="194"/>
      <c r="AG408" s="194"/>
      <c r="AH408" s="194"/>
      <c r="AI408" s="194"/>
      <c r="AJ408" s="194"/>
      <c r="AK408" s="195"/>
      <c r="AL408" s="164"/>
      <c r="AM408" s="164"/>
      <c r="AN408" s="164"/>
      <c r="AO408" s="164"/>
      <c r="AP408" s="164"/>
      <c r="AQ408" s="164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</row>
    <row r="409" spans="2:55" s="29" customFormat="1" ht="21" customHeight="1" x14ac:dyDescent="0.3">
      <c r="B409" s="161"/>
      <c r="C409" s="162"/>
      <c r="D409" s="162"/>
      <c r="E409" s="163"/>
      <c r="F409" s="192"/>
      <c r="G409" s="192"/>
      <c r="H409" s="192"/>
      <c r="I409" s="192"/>
      <c r="J409" s="186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8"/>
      <c r="V409" s="168"/>
      <c r="W409" s="169"/>
      <c r="X409" s="169"/>
      <c r="Y409" s="170"/>
      <c r="Z409" s="193"/>
      <c r="AA409" s="194"/>
      <c r="AB409" s="194"/>
      <c r="AC409" s="194"/>
      <c r="AD409" s="194"/>
      <c r="AE409" s="194"/>
      <c r="AF409" s="194"/>
      <c r="AG409" s="194"/>
      <c r="AH409" s="194"/>
      <c r="AI409" s="194"/>
      <c r="AJ409" s="194"/>
      <c r="AK409" s="195"/>
      <c r="AL409" s="164"/>
      <c r="AM409" s="164"/>
      <c r="AN409" s="164"/>
      <c r="AO409" s="164"/>
      <c r="AP409" s="164"/>
      <c r="AQ409" s="164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</row>
    <row r="410" spans="2:55" s="29" customFormat="1" ht="21" customHeight="1" x14ac:dyDescent="0.3">
      <c r="B410" s="161"/>
      <c r="C410" s="162"/>
      <c r="D410" s="162"/>
      <c r="E410" s="163"/>
      <c r="F410" s="192"/>
      <c r="G410" s="192"/>
      <c r="H410" s="192"/>
      <c r="I410" s="192"/>
      <c r="J410" s="189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1"/>
      <c r="V410" s="171"/>
      <c r="W410" s="172"/>
      <c r="X410" s="172"/>
      <c r="Y410" s="173"/>
      <c r="Z410" s="199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  <c r="AK410" s="201"/>
      <c r="AL410" s="164"/>
      <c r="AM410" s="164"/>
      <c r="AN410" s="164"/>
      <c r="AO410" s="164"/>
      <c r="AP410" s="164"/>
      <c r="AQ410" s="164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</row>
    <row r="411" spans="2:55" s="29" customFormat="1" ht="23.65" customHeight="1" x14ac:dyDescent="0.3">
      <c r="B411" s="161"/>
      <c r="C411" s="162"/>
      <c r="D411" s="162"/>
      <c r="E411" s="163"/>
      <c r="F411" s="192"/>
      <c r="G411" s="192"/>
      <c r="H411" s="192"/>
      <c r="I411" s="192"/>
      <c r="J411" s="183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5"/>
      <c r="V411" s="165"/>
      <c r="W411" s="166"/>
      <c r="X411" s="166"/>
      <c r="Y411" s="167"/>
      <c r="Z411" s="196"/>
      <c r="AA411" s="197"/>
      <c r="AB411" s="197"/>
      <c r="AC411" s="197"/>
      <c r="AD411" s="197"/>
      <c r="AE411" s="197"/>
      <c r="AF411" s="197"/>
      <c r="AG411" s="197"/>
      <c r="AH411" s="197"/>
      <c r="AI411" s="197"/>
      <c r="AJ411" s="197"/>
      <c r="AK411" s="198"/>
      <c r="AL411" s="164"/>
      <c r="AM411" s="164"/>
      <c r="AN411" s="164"/>
      <c r="AO411" s="164"/>
      <c r="AP411" s="164"/>
      <c r="AQ411" s="164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</row>
    <row r="412" spans="2:55" x14ac:dyDescent="0.3">
      <c r="B412" s="161"/>
      <c r="C412" s="162"/>
      <c r="D412" s="162"/>
      <c r="E412" s="163"/>
      <c r="F412" s="192"/>
      <c r="G412" s="192"/>
      <c r="H412" s="192"/>
      <c r="I412" s="192"/>
      <c r="J412" s="186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8"/>
      <c r="V412" s="168"/>
      <c r="W412" s="169"/>
      <c r="X412" s="169"/>
      <c r="Y412" s="170"/>
      <c r="Z412" s="193"/>
      <c r="AA412" s="194"/>
      <c r="AB412" s="194"/>
      <c r="AC412" s="194"/>
      <c r="AD412" s="194"/>
      <c r="AE412" s="194"/>
      <c r="AF412" s="194"/>
      <c r="AG412" s="194"/>
      <c r="AH412" s="194"/>
      <c r="AI412" s="194"/>
      <c r="AJ412" s="194"/>
      <c r="AK412" s="195"/>
      <c r="AL412" s="164"/>
      <c r="AM412" s="164"/>
      <c r="AN412" s="164"/>
      <c r="AO412" s="164"/>
      <c r="AP412" s="164"/>
      <c r="AQ412" s="164"/>
    </row>
    <row r="413" spans="2:55" x14ac:dyDescent="0.3">
      <c r="B413" s="161"/>
      <c r="C413" s="162"/>
      <c r="D413" s="162"/>
      <c r="E413" s="163"/>
      <c r="F413" s="192"/>
      <c r="G413" s="192"/>
      <c r="H413" s="192"/>
      <c r="I413" s="192"/>
      <c r="J413" s="186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8"/>
      <c r="V413" s="168"/>
      <c r="W413" s="169"/>
      <c r="X413" s="169"/>
      <c r="Y413" s="170"/>
      <c r="Z413" s="193"/>
      <c r="AA413" s="194"/>
      <c r="AB413" s="194"/>
      <c r="AC413" s="194"/>
      <c r="AD413" s="194"/>
      <c r="AE413" s="194"/>
      <c r="AF413" s="194"/>
      <c r="AG413" s="194"/>
      <c r="AH413" s="194"/>
      <c r="AI413" s="194"/>
      <c r="AJ413" s="194"/>
      <c r="AK413" s="195"/>
      <c r="AL413" s="164"/>
      <c r="AM413" s="164"/>
      <c r="AN413" s="164"/>
      <c r="AO413" s="164"/>
      <c r="AP413" s="164"/>
      <c r="AQ413" s="164"/>
    </row>
    <row r="414" spans="2:55" x14ac:dyDescent="0.3">
      <c r="B414" s="161"/>
      <c r="C414" s="162"/>
      <c r="D414" s="162"/>
      <c r="E414" s="163"/>
      <c r="F414" s="192"/>
      <c r="G414" s="192"/>
      <c r="H414" s="192"/>
      <c r="I414" s="192"/>
      <c r="J414" s="186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8"/>
      <c r="V414" s="168"/>
      <c r="W414" s="169"/>
      <c r="X414" s="169"/>
      <c r="Y414" s="170"/>
      <c r="Z414" s="193"/>
      <c r="AA414" s="194"/>
      <c r="AB414" s="194"/>
      <c r="AC414" s="194"/>
      <c r="AD414" s="194"/>
      <c r="AE414" s="194"/>
      <c r="AF414" s="194"/>
      <c r="AG414" s="194"/>
      <c r="AH414" s="194"/>
      <c r="AI414" s="194"/>
      <c r="AJ414" s="194"/>
      <c r="AK414" s="195"/>
      <c r="AL414" s="164"/>
      <c r="AM414" s="164"/>
      <c r="AN414" s="164"/>
      <c r="AO414" s="164"/>
      <c r="AP414" s="164"/>
      <c r="AQ414" s="164"/>
    </row>
    <row r="415" spans="2:55" x14ac:dyDescent="0.3">
      <c r="B415" s="161"/>
      <c r="C415" s="162"/>
      <c r="D415" s="162"/>
      <c r="E415" s="163"/>
      <c r="F415" s="192"/>
      <c r="G415" s="192"/>
      <c r="H415" s="192"/>
      <c r="I415" s="192"/>
      <c r="J415" s="186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8"/>
      <c r="V415" s="168"/>
      <c r="W415" s="169"/>
      <c r="X415" s="169"/>
      <c r="Y415" s="170"/>
      <c r="Z415" s="193"/>
      <c r="AA415" s="194"/>
      <c r="AB415" s="194"/>
      <c r="AC415" s="194"/>
      <c r="AD415" s="194"/>
      <c r="AE415" s="194"/>
      <c r="AF415" s="194"/>
      <c r="AG415" s="194"/>
      <c r="AH415" s="194"/>
      <c r="AI415" s="194"/>
      <c r="AJ415" s="194"/>
      <c r="AK415" s="195"/>
      <c r="AL415" s="164"/>
      <c r="AM415" s="164"/>
      <c r="AN415" s="164"/>
      <c r="AO415" s="164"/>
      <c r="AP415" s="164"/>
      <c r="AQ415" s="164"/>
    </row>
    <row r="416" spans="2:55" x14ac:dyDescent="0.3">
      <c r="B416" s="161"/>
      <c r="C416" s="162"/>
      <c r="D416" s="162"/>
      <c r="E416" s="163"/>
      <c r="F416" s="192"/>
      <c r="G416" s="192"/>
      <c r="H416" s="192"/>
      <c r="I416" s="192"/>
      <c r="J416" s="186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8"/>
      <c r="V416" s="168"/>
      <c r="W416" s="169"/>
      <c r="X416" s="169"/>
      <c r="Y416" s="170"/>
      <c r="Z416" s="193"/>
      <c r="AA416" s="194"/>
      <c r="AB416" s="194"/>
      <c r="AC416" s="194"/>
      <c r="AD416" s="194"/>
      <c r="AE416" s="194"/>
      <c r="AF416" s="194"/>
      <c r="AG416" s="194"/>
      <c r="AH416" s="194"/>
      <c r="AI416" s="194"/>
      <c r="AJ416" s="194"/>
      <c r="AK416" s="195"/>
      <c r="AL416" s="164"/>
      <c r="AM416" s="164"/>
      <c r="AN416" s="164"/>
      <c r="AO416" s="164"/>
      <c r="AP416" s="164"/>
      <c r="AQ416" s="164"/>
    </row>
    <row r="417" spans="2:43" x14ac:dyDescent="0.3">
      <c r="B417" s="161"/>
      <c r="C417" s="162"/>
      <c r="D417" s="162"/>
      <c r="E417" s="163"/>
      <c r="F417" s="192"/>
      <c r="G417" s="192"/>
      <c r="H417" s="192"/>
      <c r="I417" s="192"/>
      <c r="J417" s="186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8"/>
      <c r="V417" s="168"/>
      <c r="W417" s="169"/>
      <c r="X417" s="169"/>
      <c r="Y417" s="170"/>
      <c r="Z417" s="193"/>
      <c r="AA417" s="194"/>
      <c r="AB417" s="194"/>
      <c r="AC417" s="194"/>
      <c r="AD417" s="194"/>
      <c r="AE417" s="194"/>
      <c r="AF417" s="194"/>
      <c r="AG417" s="194"/>
      <c r="AH417" s="194"/>
      <c r="AI417" s="194"/>
      <c r="AJ417" s="194"/>
      <c r="AK417" s="195"/>
      <c r="AL417" s="164"/>
      <c r="AM417" s="164"/>
      <c r="AN417" s="164"/>
      <c r="AO417" s="164"/>
      <c r="AP417" s="164"/>
      <c r="AQ417" s="164"/>
    </row>
    <row r="418" spans="2:43" x14ac:dyDescent="0.3">
      <c r="B418" s="161"/>
      <c r="C418" s="162"/>
      <c r="D418" s="162"/>
      <c r="E418" s="163"/>
      <c r="F418" s="192"/>
      <c r="G418" s="192"/>
      <c r="H418" s="192"/>
      <c r="I418" s="192"/>
      <c r="J418" s="189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1"/>
      <c r="V418" s="171"/>
      <c r="W418" s="172"/>
      <c r="X418" s="172"/>
      <c r="Y418" s="173"/>
      <c r="Z418" s="199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1"/>
      <c r="AL418" s="164"/>
      <c r="AM418" s="164"/>
      <c r="AN418" s="164"/>
      <c r="AO418" s="164"/>
      <c r="AP418" s="164"/>
      <c r="AQ418" s="164"/>
    </row>
    <row r="419" spans="2:43" x14ac:dyDescent="0.3">
      <c r="B419" s="161"/>
      <c r="C419" s="162"/>
      <c r="D419" s="162"/>
      <c r="E419" s="163"/>
      <c r="F419" s="192"/>
      <c r="G419" s="192"/>
      <c r="H419" s="192"/>
      <c r="I419" s="192"/>
      <c r="J419" s="183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5"/>
      <c r="V419" s="165"/>
      <c r="W419" s="166"/>
      <c r="X419" s="166"/>
      <c r="Y419" s="167"/>
      <c r="Z419" s="196"/>
      <c r="AA419" s="197"/>
      <c r="AB419" s="197"/>
      <c r="AC419" s="197"/>
      <c r="AD419" s="197"/>
      <c r="AE419" s="197"/>
      <c r="AF419" s="197"/>
      <c r="AG419" s="197"/>
      <c r="AH419" s="197"/>
      <c r="AI419" s="197"/>
      <c r="AJ419" s="197"/>
      <c r="AK419" s="198"/>
      <c r="AL419" s="164"/>
      <c r="AM419" s="164"/>
      <c r="AN419" s="164"/>
      <c r="AO419" s="164"/>
      <c r="AP419" s="164"/>
      <c r="AQ419" s="164"/>
    </row>
    <row r="420" spans="2:43" x14ac:dyDescent="0.3">
      <c r="B420" s="161"/>
      <c r="C420" s="162"/>
      <c r="D420" s="162"/>
      <c r="E420" s="163"/>
      <c r="F420" s="192"/>
      <c r="G420" s="192"/>
      <c r="H420" s="192"/>
      <c r="I420" s="192"/>
      <c r="J420" s="186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8"/>
      <c r="V420" s="168"/>
      <c r="W420" s="169"/>
      <c r="X420" s="169"/>
      <c r="Y420" s="170"/>
      <c r="Z420" s="193"/>
      <c r="AA420" s="194"/>
      <c r="AB420" s="194"/>
      <c r="AC420" s="194"/>
      <c r="AD420" s="194"/>
      <c r="AE420" s="194"/>
      <c r="AF420" s="194"/>
      <c r="AG420" s="194"/>
      <c r="AH420" s="194"/>
      <c r="AI420" s="194"/>
      <c r="AJ420" s="194"/>
      <c r="AK420" s="195"/>
      <c r="AL420" s="164"/>
      <c r="AM420" s="164"/>
      <c r="AN420" s="164"/>
      <c r="AO420" s="164"/>
      <c r="AP420" s="164"/>
      <c r="AQ420" s="164"/>
    </row>
    <row r="421" spans="2:43" x14ac:dyDescent="0.3">
      <c r="B421" s="161"/>
      <c r="C421" s="162"/>
      <c r="D421" s="162"/>
      <c r="E421" s="163"/>
      <c r="F421" s="192"/>
      <c r="G421" s="192"/>
      <c r="H421" s="192"/>
      <c r="I421" s="192"/>
      <c r="J421" s="186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8"/>
      <c r="V421" s="168"/>
      <c r="W421" s="169"/>
      <c r="X421" s="169"/>
      <c r="Y421" s="170"/>
      <c r="Z421" s="193"/>
      <c r="AA421" s="194"/>
      <c r="AB421" s="194"/>
      <c r="AC421" s="194"/>
      <c r="AD421" s="194"/>
      <c r="AE421" s="194"/>
      <c r="AF421" s="194"/>
      <c r="AG421" s="194"/>
      <c r="AH421" s="194"/>
      <c r="AI421" s="194"/>
      <c r="AJ421" s="194"/>
      <c r="AK421" s="195"/>
      <c r="AL421" s="164"/>
      <c r="AM421" s="164"/>
      <c r="AN421" s="164"/>
      <c r="AO421" s="164"/>
      <c r="AP421" s="164"/>
      <c r="AQ421" s="164"/>
    </row>
    <row r="422" spans="2:43" x14ac:dyDescent="0.3">
      <c r="B422" s="161"/>
      <c r="C422" s="162"/>
      <c r="D422" s="162"/>
      <c r="E422" s="163"/>
      <c r="F422" s="192"/>
      <c r="G422" s="192"/>
      <c r="H422" s="192"/>
      <c r="I422" s="192"/>
      <c r="J422" s="186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8"/>
      <c r="V422" s="168"/>
      <c r="W422" s="169"/>
      <c r="X422" s="169"/>
      <c r="Y422" s="170"/>
      <c r="Z422" s="193"/>
      <c r="AA422" s="194"/>
      <c r="AB422" s="194"/>
      <c r="AC422" s="194"/>
      <c r="AD422" s="194"/>
      <c r="AE422" s="194"/>
      <c r="AF422" s="194"/>
      <c r="AG422" s="194"/>
      <c r="AH422" s="194"/>
      <c r="AI422" s="194"/>
      <c r="AJ422" s="194"/>
      <c r="AK422" s="195"/>
      <c r="AL422" s="164"/>
      <c r="AM422" s="164"/>
      <c r="AN422" s="164"/>
      <c r="AO422" s="164"/>
      <c r="AP422" s="164"/>
      <c r="AQ422" s="164"/>
    </row>
    <row r="423" spans="2:43" x14ac:dyDescent="0.3">
      <c r="B423" s="161"/>
      <c r="C423" s="162"/>
      <c r="D423" s="162"/>
      <c r="E423" s="163"/>
      <c r="F423" s="192"/>
      <c r="G423" s="192"/>
      <c r="H423" s="192"/>
      <c r="I423" s="192"/>
      <c r="J423" s="186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8"/>
      <c r="V423" s="168"/>
      <c r="W423" s="169"/>
      <c r="X423" s="169"/>
      <c r="Y423" s="170"/>
      <c r="Z423" s="193"/>
      <c r="AA423" s="194"/>
      <c r="AB423" s="194"/>
      <c r="AC423" s="194"/>
      <c r="AD423" s="194"/>
      <c r="AE423" s="194"/>
      <c r="AF423" s="194"/>
      <c r="AG423" s="194"/>
      <c r="AH423" s="194"/>
      <c r="AI423" s="194"/>
      <c r="AJ423" s="194"/>
      <c r="AK423" s="195"/>
      <c r="AL423" s="164"/>
      <c r="AM423" s="164"/>
      <c r="AN423" s="164"/>
      <c r="AO423" s="164"/>
      <c r="AP423" s="164"/>
      <c r="AQ423" s="164"/>
    </row>
    <row r="424" spans="2:43" x14ac:dyDescent="0.3">
      <c r="B424" s="161"/>
      <c r="C424" s="162"/>
      <c r="D424" s="162"/>
      <c r="E424" s="163"/>
      <c r="F424" s="192"/>
      <c r="G424" s="192"/>
      <c r="H424" s="192"/>
      <c r="I424" s="192"/>
      <c r="J424" s="186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8"/>
      <c r="V424" s="168"/>
      <c r="W424" s="169"/>
      <c r="X424" s="169"/>
      <c r="Y424" s="170"/>
      <c r="Z424" s="193"/>
      <c r="AA424" s="194"/>
      <c r="AB424" s="194"/>
      <c r="AC424" s="194"/>
      <c r="AD424" s="194"/>
      <c r="AE424" s="194"/>
      <c r="AF424" s="194"/>
      <c r="AG424" s="194"/>
      <c r="AH424" s="194"/>
      <c r="AI424" s="194"/>
      <c r="AJ424" s="194"/>
      <c r="AK424" s="195"/>
      <c r="AL424" s="164"/>
      <c r="AM424" s="164"/>
      <c r="AN424" s="164"/>
      <c r="AO424" s="164"/>
      <c r="AP424" s="164"/>
      <c r="AQ424" s="164"/>
    </row>
    <row r="425" spans="2:43" x14ac:dyDescent="0.3">
      <c r="B425" s="161"/>
      <c r="C425" s="162"/>
      <c r="D425" s="162"/>
      <c r="E425" s="163"/>
      <c r="F425" s="192"/>
      <c r="G425" s="192"/>
      <c r="H425" s="192"/>
      <c r="I425" s="192"/>
      <c r="J425" s="186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8"/>
      <c r="V425" s="168"/>
      <c r="W425" s="169"/>
      <c r="X425" s="169"/>
      <c r="Y425" s="170"/>
      <c r="Z425" s="193"/>
      <c r="AA425" s="194"/>
      <c r="AB425" s="194"/>
      <c r="AC425" s="194"/>
      <c r="AD425" s="194"/>
      <c r="AE425" s="194"/>
      <c r="AF425" s="194"/>
      <c r="AG425" s="194"/>
      <c r="AH425" s="194"/>
      <c r="AI425" s="194"/>
      <c r="AJ425" s="194"/>
      <c r="AK425" s="195"/>
      <c r="AL425" s="164"/>
      <c r="AM425" s="164"/>
      <c r="AN425" s="164"/>
      <c r="AO425" s="164"/>
      <c r="AP425" s="164"/>
      <c r="AQ425" s="164"/>
    </row>
    <row r="426" spans="2:43" x14ac:dyDescent="0.3">
      <c r="B426" s="161"/>
      <c r="C426" s="162"/>
      <c r="D426" s="162"/>
      <c r="E426" s="163"/>
      <c r="F426" s="192"/>
      <c r="G426" s="192"/>
      <c r="H426" s="192"/>
      <c r="I426" s="192"/>
      <c r="J426" s="189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1"/>
      <c r="V426" s="171"/>
      <c r="W426" s="172"/>
      <c r="X426" s="172"/>
      <c r="Y426" s="173"/>
      <c r="Z426" s="199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1"/>
      <c r="AL426" s="164"/>
      <c r="AM426" s="164"/>
      <c r="AN426" s="164"/>
      <c r="AO426" s="164"/>
      <c r="AP426" s="164"/>
      <c r="AQ426" s="164"/>
    </row>
    <row r="427" spans="2:43" x14ac:dyDescent="0.3">
      <c r="B427" s="161"/>
      <c r="C427" s="162"/>
      <c r="D427" s="162"/>
      <c r="E427" s="163"/>
      <c r="F427" s="192"/>
      <c r="G427" s="192"/>
      <c r="H427" s="192"/>
      <c r="I427" s="192"/>
      <c r="J427" s="183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5"/>
      <c r="V427" s="165"/>
      <c r="W427" s="166"/>
      <c r="X427" s="166"/>
      <c r="Y427" s="167"/>
      <c r="Z427" s="196"/>
      <c r="AA427" s="197"/>
      <c r="AB427" s="197"/>
      <c r="AC427" s="197"/>
      <c r="AD427" s="197"/>
      <c r="AE427" s="197"/>
      <c r="AF427" s="197"/>
      <c r="AG427" s="197"/>
      <c r="AH427" s="197"/>
      <c r="AI427" s="197"/>
      <c r="AJ427" s="197"/>
      <c r="AK427" s="198"/>
      <c r="AL427" s="164"/>
      <c r="AM427" s="164"/>
      <c r="AN427" s="164"/>
      <c r="AO427" s="164"/>
      <c r="AP427" s="164"/>
      <c r="AQ427" s="164"/>
    </row>
    <row r="428" spans="2:43" x14ac:dyDescent="0.3">
      <c r="B428" s="161"/>
      <c r="C428" s="162"/>
      <c r="D428" s="162"/>
      <c r="E428" s="163"/>
      <c r="F428" s="192"/>
      <c r="G428" s="192"/>
      <c r="H428" s="192"/>
      <c r="I428" s="192"/>
      <c r="J428" s="186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8"/>
      <c r="V428" s="168"/>
      <c r="W428" s="169"/>
      <c r="X428" s="169"/>
      <c r="Y428" s="170"/>
      <c r="Z428" s="193"/>
      <c r="AA428" s="194"/>
      <c r="AB428" s="194"/>
      <c r="AC428" s="194"/>
      <c r="AD428" s="194"/>
      <c r="AE428" s="194"/>
      <c r="AF428" s="194"/>
      <c r="AG428" s="194"/>
      <c r="AH428" s="194"/>
      <c r="AI428" s="194"/>
      <c r="AJ428" s="194"/>
      <c r="AK428" s="195"/>
      <c r="AL428" s="164"/>
      <c r="AM428" s="164"/>
      <c r="AN428" s="164"/>
      <c r="AO428" s="164"/>
      <c r="AP428" s="164"/>
      <c r="AQ428" s="164"/>
    </row>
    <row r="429" spans="2:43" x14ac:dyDescent="0.3">
      <c r="B429" s="161"/>
      <c r="C429" s="162"/>
      <c r="D429" s="162"/>
      <c r="E429" s="163"/>
      <c r="F429" s="192"/>
      <c r="G429" s="192"/>
      <c r="H429" s="192"/>
      <c r="I429" s="192"/>
      <c r="J429" s="186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8"/>
      <c r="V429" s="168"/>
      <c r="W429" s="169"/>
      <c r="X429" s="169"/>
      <c r="Y429" s="170"/>
      <c r="Z429" s="193"/>
      <c r="AA429" s="194"/>
      <c r="AB429" s="194"/>
      <c r="AC429" s="194"/>
      <c r="AD429" s="194"/>
      <c r="AE429" s="194"/>
      <c r="AF429" s="194"/>
      <c r="AG429" s="194"/>
      <c r="AH429" s="194"/>
      <c r="AI429" s="194"/>
      <c r="AJ429" s="194"/>
      <c r="AK429" s="195"/>
      <c r="AL429" s="164"/>
      <c r="AM429" s="164"/>
      <c r="AN429" s="164"/>
      <c r="AO429" s="164"/>
      <c r="AP429" s="164"/>
      <c r="AQ429" s="164"/>
    </row>
    <row r="430" spans="2:43" x14ac:dyDescent="0.3">
      <c r="B430" s="161"/>
      <c r="C430" s="162"/>
      <c r="D430" s="162"/>
      <c r="E430" s="163"/>
      <c r="F430" s="192"/>
      <c r="G430" s="192"/>
      <c r="H430" s="192"/>
      <c r="I430" s="192"/>
      <c r="J430" s="186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8"/>
      <c r="V430" s="168"/>
      <c r="W430" s="169"/>
      <c r="X430" s="169"/>
      <c r="Y430" s="170"/>
      <c r="Z430" s="193"/>
      <c r="AA430" s="194"/>
      <c r="AB430" s="194"/>
      <c r="AC430" s="194"/>
      <c r="AD430" s="194"/>
      <c r="AE430" s="194"/>
      <c r="AF430" s="194"/>
      <c r="AG430" s="194"/>
      <c r="AH430" s="194"/>
      <c r="AI430" s="194"/>
      <c r="AJ430" s="194"/>
      <c r="AK430" s="195"/>
      <c r="AL430" s="164"/>
      <c r="AM430" s="164"/>
      <c r="AN430" s="164"/>
      <c r="AO430" s="164"/>
      <c r="AP430" s="164"/>
      <c r="AQ430" s="164"/>
    </row>
    <row r="431" spans="2:43" x14ac:dyDescent="0.3">
      <c r="B431" s="161"/>
      <c r="C431" s="162"/>
      <c r="D431" s="162"/>
      <c r="E431" s="163"/>
      <c r="F431" s="192"/>
      <c r="G431" s="192"/>
      <c r="H431" s="192"/>
      <c r="I431" s="192"/>
      <c r="J431" s="186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8"/>
      <c r="V431" s="168"/>
      <c r="W431" s="169"/>
      <c r="X431" s="169"/>
      <c r="Y431" s="170"/>
      <c r="Z431" s="193"/>
      <c r="AA431" s="194"/>
      <c r="AB431" s="194"/>
      <c r="AC431" s="194"/>
      <c r="AD431" s="194"/>
      <c r="AE431" s="194"/>
      <c r="AF431" s="194"/>
      <c r="AG431" s="194"/>
      <c r="AH431" s="194"/>
      <c r="AI431" s="194"/>
      <c r="AJ431" s="194"/>
      <c r="AK431" s="195"/>
      <c r="AL431" s="164"/>
      <c r="AM431" s="164"/>
      <c r="AN431" s="164"/>
      <c r="AO431" s="164"/>
      <c r="AP431" s="164"/>
      <c r="AQ431" s="164"/>
    </row>
    <row r="432" spans="2:43" x14ac:dyDescent="0.3">
      <c r="B432" s="161"/>
      <c r="C432" s="162"/>
      <c r="D432" s="162"/>
      <c r="E432" s="163"/>
      <c r="F432" s="192"/>
      <c r="G432" s="192"/>
      <c r="H432" s="192"/>
      <c r="I432" s="192"/>
      <c r="J432" s="186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8"/>
      <c r="V432" s="168"/>
      <c r="W432" s="169"/>
      <c r="X432" s="169"/>
      <c r="Y432" s="170"/>
      <c r="Z432" s="193"/>
      <c r="AA432" s="194"/>
      <c r="AB432" s="194"/>
      <c r="AC432" s="194"/>
      <c r="AD432" s="194"/>
      <c r="AE432" s="194"/>
      <c r="AF432" s="194"/>
      <c r="AG432" s="194"/>
      <c r="AH432" s="194"/>
      <c r="AI432" s="194"/>
      <c r="AJ432" s="194"/>
      <c r="AK432" s="195"/>
      <c r="AL432" s="164"/>
      <c r="AM432" s="164"/>
      <c r="AN432" s="164"/>
      <c r="AO432" s="164"/>
      <c r="AP432" s="164"/>
      <c r="AQ432" s="164"/>
    </row>
    <row r="433" spans="2:43" x14ac:dyDescent="0.3">
      <c r="B433" s="161"/>
      <c r="C433" s="162"/>
      <c r="D433" s="162"/>
      <c r="E433" s="163"/>
      <c r="F433" s="192"/>
      <c r="G433" s="192"/>
      <c r="H433" s="192"/>
      <c r="I433" s="192"/>
      <c r="J433" s="186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8"/>
      <c r="V433" s="168"/>
      <c r="W433" s="169"/>
      <c r="X433" s="169"/>
      <c r="Y433" s="170"/>
      <c r="Z433" s="193"/>
      <c r="AA433" s="194"/>
      <c r="AB433" s="194"/>
      <c r="AC433" s="194"/>
      <c r="AD433" s="194"/>
      <c r="AE433" s="194"/>
      <c r="AF433" s="194"/>
      <c r="AG433" s="194"/>
      <c r="AH433" s="194"/>
      <c r="AI433" s="194"/>
      <c r="AJ433" s="194"/>
      <c r="AK433" s="195"/>
      <c r="AL433" s="164"/>
      <c r="AM433" s="164"/>
      <c r="AN433" s="164"/>
      <c r="AO433" s="164"/>
      <c r="AP433" s="164"/>
      <c r="AQ433" s="164"/>
    </row>
    <row r="434" spans="2:43" x14ac:dyDescent="0.3">
      <c r="B434" s="161"/>
      <c r="C434" s="162"/>
      <c r="D434" s="162"/>
      <c r="E434" s="163"/>
      <c r="F434" s="192"/>
      <c r="G434" s="192"/>
      <c r="H434" s="192"/>
      <c r="I434" s="192"/>
      <c r="J434" s="189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1"/>
      <c r="V434" s="171"/>
      <c r="W434" s="172"/>
      <c r="X434" s="172"/>
      <c r="Y434" s="173"/>
      <c r="Z434" s="199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1"/>
      <c r="AL434" s="164"/>
      <c r="AM434" s="164"/>
      <c r="AN434" s="164"/>
      <c r="AO434" s="164"/>
      <c r="AP434" s="164"/>
      <c r="AQ434" s="164"/>
    </row>
    <row r="435" spans="2:43" x14ac:dyDescent="0.3">
      <c r="B435" s="161"/>
      <c r="C435" s="162"/>
      <c r="D435" s="162"/>
      <c r="E435" s="163"/>
      <c r="F435" s="192"/>
      <c r="G435" s="192"/>
      <c r="H435" s="192"/>
      <c r="I435" s="192"/>
      <c r="J435" s="183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5"/>
      <c r="V435" s="165"/>
      <c r="W435" s="166"/>
      <c r="X435" s="166"/>
      <c r="Y435" s="167"/>
      <c r="Z435" s="196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8"/>
      <c r="AL435" s="164"/>
      <c r="AM435" s="164"/>
      <c r="AN435" s="164"/>
      <c r="AO435" s="164"/>
      <c r="AP435" s="164"/>
      <c r="AQ435" s="164"/>
    </row>
    <row r="436" spans="2:43" x14ac:dyDescent="0.3">
      <c r="B436" s="161"/>
      <c r="C436" s="162"/>
      <c r="D436" s="162"/>
      <c r="E436" s="163"/>
      <c r="F436" s="192"/>
      <c r="G436" s="192"/>
      <c r="H436" s="192"/>
      <c r="I436" s="192"/>
      <c r="J436" s="186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8"/>
      <c r="V436" s="168"/>
      <c r="W436" s="169"/>
      <c r="X436" s="169"/>
      <c r="Y436" s="170"/>
      <c r="Z436" s="193"/>
      <c r="AA436" s="194"/>
      <c r="AB436" s="194"/>
      <c r="AC436" s="194"/>
      <c r="AD436" s="194"/>
      <c r="AE436" s="194"/>
      <c r="AF436" s="194"/>
      <c r="AG436" s="194"/>
      <c r="AH436" s="194"/>
      <c r="AI436" s="194"/>
      <c r="AJ436" s="194"/>
      <c r="AK436" s="195"/>
      <c r="AL436" s="164"/>
      <c r="AM436" s="164"/>
      <c r="AN436" s="164"/>
      <c r="AO436" s="164"/>
      <c r="AP436" s="164"/>
      <c r="AQ436" s="164"/>
    </row>
    <row r="437" spans="2:43" x14ac:dyDescent="0.3">
      <c r="B437" s="161"/>
      <c r="C437" s="162"/>
      <c r="D437" s="162"/>
      <c r="E437" s="163"/>
      <c r="F437" s="192"/>
      <c r="G437" s="192"/>
      <c r="H437" s="192"/>
      <c r="I437" s="192"/>
      <c r="J437" s="186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8"/>
      <c r="V437" s="168"/>
      <c r="W437" s="169"/>
      <c r="X437" s="169"/>
      <c r="Y437" s="170"/>
      <c r="Z437" s="193"/>
      <c r="AA437" s="194"/>
      <c r="AB437" s="194"/>
      <c r="AC437" s="194"/>
      <c r="AD437" s="194"/>
      <c r="AE437" s="194"/>
      <c r="AF437" s="194"/>
      <c r="AG437" s="194"/>
      <c r="AH437" s="194"/>
      <c r="AI437" s="194"/>
      <c r="AJ437" s="194"/>
      <c r="AK437" s="195"/>
      <c r="AL437" s="164"/>
      <c r="AM437" s="164"/>
      <c r="AN437" s="164"/>
      <c r="AO437" s="164"/>
      <c r="AP437" s="164"/>
      <c r="AQ437" s="164"/>
    </row>
    <row r="438" spans="2:43" x14ac:dyDescent="0.3">
      <c r="B438" s="161"/>
      <c r="C438" s="162"/>
      <c r="D438" s="162"/>
      <c r="E438" s="163"/>
      <c r="F438" s="192"/>
      <c r="G438" s="192"/>
      <c r="H438" s="192"/>
      <c r="I438" s="192"/>
      <c r="J438" s="186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8"/>
      <c r="V438" s="168"/>
      <c r="W438" s="169"/>
      <c r="X438" s="169"/>
      <c r="Y438" s="170"/>
      <c r="Z438" s="193"/>
      <c r="AA438" s="194"/>
      <c r="AB438" s="194"/>
      <c r="AC438" s="194"/>
      <c r="AD438" s="194"/>
      <c r="AE438" s="194"/>
      <c r="AF438" s="194"/>
      <c r="AG438" s="194"/>
      <c r="AH438" s="194"/>
      <c r="AI438" s="194"/>
      <c r="AJ438" s="194"/>
      <c r="AK438" s="195"/>
      <c r="AL438" s="164"/>
      <c r="AM438" s="164"/>
      <c r="AN438" s="164"/>
      <c r="AO438" s="164"/>
      <c r="AP438" s="164"/>
      <c r="AQ438" s="164"/>
    </row>
    <row r="439" spans="2:43" x14ac:dyDescent="0.3">
      <c r="B439" s="161"/>
      <c r="C439" s="162"/>
      <c r="D439" s="162"/>
      <c r="E439" s="163"/>
      <c r="F439" s="192"/>
      <c r="G439" s="192"/>
      <c r="H439" s="192"/>
      <c r="I439" s="192"/>
      <c r="J439" s="186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8"/>
      <c r="V439" s="168"/>
      <c r="W439" s="169"/>
      <c r="X439" s="169"/>
      <c r="Y439" s="170"/>
      <c r="Z439" s="193"/>
      <c r="AA439" s="194"/>
      <c r="AB439" s="194"/>
      <c r="AC439" s="194"/>
      <c r="AD439" s="194"/>
      <c r="AE439" s="194"/>
      <c r="AF439" s="194"/>
      <c r="AG439" s="194"/>
      <c r="AH439" s="194"/>
      <c r="AI439" s="194"/>
      <c r="AJ439" s="194"/>
      <c r="AK439" s="195"/>
      <c r="AL439" s="164"/>
      <c r="AM439" s="164"/>
      <c r="AN439" s="164"/>
      <c r="AO439" s="164"/>
      <c r="AP439" s="164"/>
      <c r="AQ439" s="164"/>
    </row>
    <row r="440" spans="2:43" x14ac:dyDescent="0.3">
      <c r="B440" s="161"/>
      <c r="C440" s="162"/>
      <c r="D440" s="162"/>
      <c r="E440" s="163"/>
      <c r="F440" s="192"/>
      <c r="G440" s="192"/>
      <c r="H440" s="192"/>
      <c r="I440" s="192"/>
      <c r="J440" s="186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8"/>
      <c r="V440" s="168"/>
      <c r="W440" s="169"/>
      <c r="X440" s="169"/>
      <c r="Y440" s="170"/>
      <c r="Z440" s="193"/>
      <c r="AA440" s="194"/>
      <c r="AB440" s="194"/>
      <c r="AC440" s="194"/>
      <c r="AD440" s="194"/>
      <c r="AE440" s="194"/>
      <c r="AF440" s="194"/>
      <c r="AG440" s="194"/>
      <c r="AH440" s="194"/>
      <c r="AI440" s="194"/>
      <c r="AJ440" s="194"/>
      <c r="AK440" s="195"/>
      <c r="AL440" s="164"/>
      <c r="AM440" s="164"/>
      <c r="AN440" s="164"/>
      <c r="AO440" s="164"/>
      <c r="AP440" s="164"/>
      <c r="AQ440" s="164"/>
    </row>
    <row r="441" spans="2:43" x14ac:dyDescent="0.3">
      <c r="B441" s="161"/>
      <c r="C441" s="162"/>
      <c r="D441" s="162"/>
      <c r="E441" s="163"/>
      <c r="F441" s="192"/>
      <c r="G441" s="192"/>
      <c r="H441" s="192"/>
      <c r="I441" s="192"/>
      <c r="J441" s="186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8"/>
      <c r="V441" s="168"/>
      <c r="W441" s="169"/>
      <c r="X441" s="169"/>
      <c r="Y441" s="170"/>
      <c r="Z441" s="193"/>
      <c r="AA441" s="194"/>
      <c r="AB441" s="194"/>
      <c r="AC441" s="194"/>
      <c r="AD441" s="194"/>
      <c r="AE441" s="194"/>
      <c r="AF441" s="194"/>
      <c r="AG441" s="194"/>
      <c r="AH441" s="194"/>
      <c r="AI441" s="194"/>
      <c r="AJ441" s="194"/>
      <c r="AK441" s="195"/>
      <c r="AL441" s="164"/>
      <c r="AM441" s="164"/>
      <c r="AN441" s="164"/>
      <c r="AO441" s="164"/>
      <c r="AP441" s="164"/>
      <c r="AQ441" s="164"/>
    </row>
    <row r="442" spans="2:43" x14ac:dyDescent="0.3">
      <c r="B442" s="161"/>
      <c r="C442" s="162"/>
      <c r="D442" s="162"/>
      <c r="E442" s="163"/>
      <c r="F442" s="192"/>
      <c r="G442" s="192"/>
      <c r="H442" s="192"/>
      <c r="I442" s="192"/>
      <c r="J442" s="189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1"/>
      <c r="V442" s="171"/>
      <c r="W442" s="172"/>
      <c r="X442" s="172"/>
      <c r="Y442" s="173"/>
      <c r="Z442" s="199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1"/>
      <c r="AL442" s="164"/>
      <c r="AM442" s="164"/>
      <c r="AN442" s="164"/>
      <c r="AO442" s="164"/>
      <c r="AP442" s="164"/>
      <c r="AQ442" s="164"/>
    </row>
    <row r="443" spans="2:43" x14ac:dyDescent="0.3">
      <c r="B443" s="161"/>
      <c r="C443" s="162"/>
      <c r="D443" s="162"/>
      <c r="E443" s="163"/>
      <c r="F443" s="192"/>
      <c r="G443" s="192"/>
      <c r="H443" s="192"/>
      <c r="I443" s="192"/>
      <c r="J443" s="183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5"/>
      <c r="V443" s="165"/>
      <c r="W443" s="166"/>
      <c r="X443" s="166"/>
      <c r="Y443" s="167"/>
      <c r="Z443" s="196"/>
      <c r="AA443" s="197"/>
      <c r="AB443" s="197"/>
      <c r="AC443" s="197"/>
      <c r="AD443" s="197"/>
      <c r="AE443" s="197"/>
      <c r="AF443" s="197"/>
      <c r="AG443" s="197"/>
      <c r="AH443" s="197"/>
      <c r="AI443" s="197"/>
      <c r="AJ443" s="197"/>
      <c r="AK443" s="198"/>
      <c r="AL443" s="164"/>
      <c r="AM443" s="164"/>
      <c r="AN443" s="164"/>
      <c r="AO443" s="164"/>
      <c r="AP443" s="164"/>
      <c r="AQ443" s="164"/>
    </row>
    <row r="444" spans="2:43" x14ac:dyDescent="0.3">
      <c r="B444" s="161"/>
      <c r="C444" s="162"/>
      <c r="D444" s="162"/>
      <c r="E444" s="163"/>
      <c r="F444" s="192"/>
      <c r="G444" s="192"/>
      <c r="H444" s="192"/>
      <c r="I444" s="192"/>
      <c r="J444" s="186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8"/>
      <c r="V444" s="168"/>
      <c r="W444" s="169"/>
      <c r="X444" s="169"/>
      <c r="Y444" s="170"/>
      <c r="Z444" s="193"/>
      <c r="AA444" s="194"/>
      <c r="AB444" s="194"/>
      <c r="AC444" s="194"/>
      <c r="AD444" s="194"/>
      <c r="AE444" s="194"/>
      <c r="AF444" s="194"/>
      <c r="AG444" s="194"/>
      <c r="AH444" s="194"/>
      <c r="AI444" s="194"/>
      <c r="AJ444" s="194"/>
      <c r="AK444" s="195"/>
      <c r="AL444" s="164"/>
      <c r="AM444" s="164"/>
      <c r="AN444" s="164"/>
      <c r="AO444" s="164"/>
      <c r="AP444" s="164"/>
      <c r="AQ444" s="164"/>
    </row>
    <row r="445" spans="2:43" x14ac:dyDescent="0.3">
      <c r="B445" s="161"/>
      <c r="C445" s="162"/>
      <c r="D445" s="162"/>
      <c r="E445" s="163"/>
      <c r="F445" s="192"/>
      <c r="G445" s="192"/>
      <c r="H445" s="192"/>
      <c r="I445" s="192"/>
      <c r="J445" s="186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8"/>
      <c r="V445" s="168"/>
      <c r="W445" s="169"/>
      <c r="X445" s="169"/>
      <c r="Y445" s="170"/>
      <c r="Z445" s="193"/>
      <c r="AA445" s="194"/>
      <c r="AB445" s="194"/>
      <c r="AC445" s="194"/>
      <c r="AD445" s="194"/>
      <c r="AE445" s="194"/>
      <c r="AF445" s="194"/>
      <c r="AG445" s="194"/>
      <c r="AH445" s="194"/>
      <c r="AI445" s="194"/>
      <c r="AJ445" s="194"/>
      <c r="AK445" s="195"/>
      <c r="AL445" s="164"/>
      <c r="AM445" s="164"/>
      <c r="AN445" s="164"/>
      <c r="AO445" s="164"/>
      <c r="AP445" s="164"/>
      <c r="AQ445" s="164"/>
    </row>
    <row r="446" spans="2:43" x14ac:dyDescent="0.3">
      <c r="B446" s="161"/>
      <c r="C446" s="162"/>
      <c r="D446" s="162"/>
      <c r="E446" s="163"/>
      <c r="F446" s="192"/>
      <c r="G446" s="192"/>
      <c r="H446" s="192"/>
      <c r="I446" s="192"/>
      <c r="J446" s="186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8"/>
      <c r="V446" s="168"/>
      <c r="W446" s="169"/>
      <c r="X446" s="169"/>
      <c r="Y446" s="170"/>
      <c r="Z446" s="193"/>
      <c r="AA446" s="194"/>
      <c r="AB446" s="194"/>
      <c r="AC446" s="194"/>
      <c r="AD446" s="194"/>
      <c r="AE446" s="194"/>
      <c r="AF446" s="194"/>
      <c r="AG446" s="194"/>
      <c r="AH446" s="194"/>
      <c r="AI446" s="194"/>
      <c r="AJ446" s="194"/>
      <c r="AK446" s="195"/>
      <c r="AL446" s="164"/>
      <c r="AM446" s="164"/>
      <c r="AN446" s="164"/>
      <c r="AO446" s="164"/>
      <c r="AP446" s="164"/>
      <c r="AQ446" s="164"/>
    </row>
    <row r="447" spans="2:43" x14ac:dyDescent="0.3">
      <c r="B447" s="161"/>
      <c r="C447" s="162"/>
      <c r="D447" s="162"/>
      <c r="E447" s="163"/>
      <c r="F447" s="192"/>
      <c r="G447" s="192"/>
      <c r="H447" s="192"/>
      <c r="I447" s="192"/>
      <c r="J447" s="186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8"/>
      <c r="V447" s="168"/>
      <c r="W447" s="169"/>
      <c r="X447" s="169"/>
      <c r="Y447" s="170"/>
      <c r="Z447" s="193"/>
      <c r="AA447" s="194"/>
      <c r="AB447" s="194"/>
      <c r="AC447" s="194"/>
      <c r="AD447" s="194"/>
      <c r="AE447" s="194"/>
      <c r="AF447" s="194"/>
      <c r="AG447" s="194"/>
      <c r="AH447" s="194"/>
      <c r="AI447" s="194"/>
      <c r="AJ447" s="194"/>
      <c r="AK447" s="195"/>
      <c r="AL447" s="164"/>
      <c r="AM447" s="164"/>
      <c r="AN447" s="164"/>
      <c r="AO447" s="164"/>
      <c r="AP447" s="164"/>
      <c r="AQ447" s="164"/>
    </row>
    <row r="448" spans="2:43" x14ac:dyDescent="0.3">
      <c r="B448" s="161"/>
      <c r="C448" s="162"/>
      <c r="D448" s="162"/>
      <c r="E448" s="163"/>
      <c r="F448" s="192"/>
      <c r="G448" s="192"/>
      <c r="H448" s="192"/>
      <c r="I448" s="192"/>
      <c r="J448" s="186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8"/>
      <c r="V448" s="168"/>
      <c r="W448" s="169"/>
      <c r="X448" s="169"/>
      <c r="Y448" s="170"/>
      <c r="Z448" s="193"/>
      <c r="AA448" s="194"/>
      <c r="AB448" s="194"/>
      <c r="AC448" s="194"/>
      <c r="AD448" s="194"/>
      <c r="AE448" s="194"/>
      <c r="AF448" s="194"/>
      <c r="AG448" s="194"/>
      <c r="AH448" s="194"/>
      <c r="AI448" s="194"/>
      <c r="AJ448" s="194"/>
      <c r="AK448" s="195"/>
      <c r="AL448" s="164"/>
      <c r="AM448" s="164"/>
      <c r="AN448" s="164"/>
      <c r="AO448" s="164"/>
      <c r="AP448" s="164"/>
      <c r="AQ448" s="164"/>
    </row>
    <row r="449" spans="2:43" x14ac:dyDescent="0.3">
      <c r="B449" s="161"/>
      <c r="C449" s="162"/>
      <c r="D449" s="162"/>
      <c r="E449" s="163"/>
      <c r="F449" s="192"/>
      <c r="G449" s="192"/>
      <c r="H449" s="192"/>
      <c r="I449" s="192"/>
      <c r="J449" s="186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8"/>
      <c r="V449" s="168"/>
      <c r="W449" s="169"/>
      <c r="X449" s="169"/>
      <c r="Y449" s="170"/>
      <c r="Z449" s="193"/>
      <c r="AA449" s="194"/>
      <c r="AB449" s="194"/>
      <c r="AC449" s="194"/>
      <c r="AD449" s="194"/>
      <c r="AE449" s="194"/>
      <c r="AF449" s="194"/>
      <c r="AG449" s="194"/>
      <c r="AH449" s="194"/>
      <c r="AI449" s="194"/>
      <c r="AJ449" s="194"/>
      <c r="AK449" s="195"/>
      <c r="AL449" s="164"/>
      <c r="AM449" s="164"/>
      <c r="AN449" s="164"/>
      <c r="AO449" s="164"/>
      <c r="AP449" s="164"/>
      <c r="AQ449" s="164"/>
    </row>
    <row r="450" spans="2:43" x14ac:dyDescent="0.3">
      <c r="B450" s="161"/>
      <c r="C450" s="162"/>
      <c r="D450" s="162"/>
      <c r="E450" s="163"/>
      <c r="F450" s="192"/>
      <c r="G450" s="192"/>
      <c r="H450" s="192"/>
      <c r="I450" s="192"/>
      <c r="J450" s="189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1"/>
      <c r="V450" s="171"/>
      <c r="W450" s="172"/>
      <c r="X450" s="172"/>
      <c r="Y450" s="173"/>
      <c r="Z450" s="199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1"/>
      <c r="AL450" s="164"/>
      <c r="AM450" s="164"/>
      <c r="AN450" s="164"/>
      <c r="AO450" s="164"/>
      <c r="AP450" s="164"/>
      <c r="AQ450" s="164"/>
    </row>
    <row r="451" spans="2:43" x14ac:dyDescent="0.3">
      <c r="B451" s="161"/>
      <c r="C451" s="162"/>
      <c r="D451" s="162"/>
      <c r="E451" s="163"/>
      <c r="F451" s="192"/>
      <c r="G451" s="192"/>
      <c r="H451" s="192"/>
      <c r="I451" s="192"/>
      <c r="J451" s="183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5"/>
      <c r="V451" s="165"/>
      <c r="W451" s="166"/>
      <c r="X451" s="166"/>
      <c r="Y451" s="167"/>
      <c r="Z451" s="196"/>
      <c r="AA451" s="197"/>
      <c r="AB451" s="197"/>
      <c r="AC451" s="197"/>
      <c r="AD451" s="197"/>
      <c r="AE451" s="197"/>
      <c r="AF451" s="197"/>
      <c r="AG451" s="197"/>
      <c r="AH451" s="197"/>
      <c r="AI451" s="197"/>
      <c r="AJ451" s="197"/>
      <c r="AK451" s="198"/>
      <c r="AL451" s="164"/>
      <c r="AM451" s="164"/>
      <c r="AN451" s="164"/>
      <c r="AO451" s="164"/>
      <c r="AP451" s="164"/>
      <c r="AQ451" s="164"/>
    </row>
    <row r="452" spans="2:43" x14ac:dyDescent="0.3">
      <c r="B452" s="161"/>
      <c r="C452" s="162"/>
      <c r="D452" s="162"/>
      <c r="E452" s="163"/>
      <c r="F452" s="192"/>
      <c r="G452" s="192"/>
      <c r="H452" s="192"/>
      <c r="I452" s="192"/>
      <c r="J452" s="186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8"/>
      <c r="V452" s="168"/>
      <c r="W452" s="169"/>
      <c r="X452" s="169"/>
      <c r="Y452" s="170"/>
      <c r="Z452" s="193"/>
      <c r="AA452" s="194"/>
      <c r="AB452" s="194"/>
      <c r="AC452" s="194"/>
      <c r="AD452" s="194"/>
      <c r="AE452" s="194"/>
      <c r="AF452" s="194"/>
      <c r="AG452" s="194"/>
      <c r="AH452" s="194"/>
      <c r="AI452" s="194"/>
      <c r="AJ452" s="194"/>
      <c r="AK452" s="195"/>
      <c r="AL452" s="164"/>
      <c r="AM452" s="164"/>
      <c r="AN452" s="164"/>
      <c r="AO452" s="164"/>
      <c r="AP452" s="164"/>
      <c r="AQ452" s="164"/>
    </row>
    <row r="453" spans="2:43" x14ac:dyDescent="0.3">
      <c r="B453" s="161"/>
      <c r="C453" s="162"/>
      <c r="D453" s="162"/>
      <c r="E453" s="163"/>
      <c r="F453" s="192"/>
      <c r="G453" s="192"/>
      <c r="H453" s="192"/>
      <c r="I453" s="192"/>
      <c r="J453" s="186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8"/>
      <c r="V453" s="168"/>
      <c r="W453" s="169"/>
      <c r="X453" s="169"/>
      <c r="Y453" s="170"/>
      <c r="Z453" s="193"/>
      <c r="AA453" s="194"/>
      <c r="AB453" s="194"/>
      <c r="AC453" s="194"/>
      <c r="AD453" s="194"/>
      <c r="AE453" s="194"/>
      <c r="AF453" s="194"/>
      <c r="AG453" s="194"/>
      <c r="AH453" s="194"/>
      <c r="AI453" s="194"/>
      <c r="AJ453" s="194"/>
      <c r="AK453" s="195"/>
      <c r="AL453" s="164"/>
      <c r="AM453" s="164"/>
      <c r="AN453" s="164"/>
      <c r="AO453" s="164"/>
      <c r="AP453" s="164"/>
      <c r="AQ453" s="164"/>
    </row>
    <row r="454" spans="2:43" x14ac:dyDescent="0.3">
      <c r="B454" s="161"/>
      <c r="C454" s="162"/>
      <c r="D454" s="162"/>
      <c r="E454" s="163"/>
      <c r="F454" s="192"/>
      <c r="G454" s="192"/>
      <c r="H454" s="192"/>
      <c r="I454" s="192"/>
      <c r="J454" s="186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8"/>
      <c r="V454" s="168"/>
      <c r="W454" s="169"/>
      <c r="X454" s="169"/>
      <c r="Y454" s="170"/>
      <c r="Z454" s="193"/>
      <c r="AA454" s="194"/>
      <c r="AB454" s="194"/>
      <c r="AC454" s="194"/>
      <c r="AD454" s="194"/>
      <c r="AE454" s="194"/>
      <c r="AF454" s="194"/>
      <c r="AG454" s="194"/>
      <c r="AH454" s="194"/>
      <c r="AI454" s="194"/>
      <c r="AJ454" s="194"/>
      <c r="AK454" s="195"/>
      <c r="AL454" s="164"/>
      <c r="AM454" s="164"/>
      <c r="AN454" s="164"/>
      <c r="AO454" s="164"/>
      <c r="AP454" s="164"/>
      <c r="AQ454" s="164"/>
    </row>
    <row r="455" spans="2:43" x14ac:dyDescent="0.3">
      <c r="B455" s="161"/>
      <c r="C455" s="162"/>
      <c r="D455" s="162"/>
      <c r="E455" s="163"/>
      <c r="F455" s="192"/>
      <c r="G455" s="192"/>
      <c r="H455" s="192"/>
      <c r="I455" s="192"/>
      <c r="J455" s="186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8"/>
      <c r="V455" s="168"/>
      <c r="W455" s="169"/>
      <c r="X455" s="169"/>
      <c r="Y455" s="170"/>
      <c r="Z455" s="193"/>
      <c r="AA455" s="194"/>
      <c r="AB455" s="194"/>
      <c r="AC455" s="194"/>
      <c r="AD455" s="194"/>
      <c r="AE455" s="194"/>
      <c r="AF455" s="194"/>
      <c r="AG455" s="194"/>
      <c r="AH455" s="194"/>
      <c r="AI455" s="194"/>
      <c r="AJ455" s="194"/>
      <c r="AK455" s="195"/>
      <c r="AL455" s="164"/>
      <c r="AM455" s="164"/>
      <c r="AN455" s="164"/>
      <c r="AO455" s="164"/>
      <c r="AP455" s="164"/>
      <c r="AQ455" s="164"/>
    </row>
    <row r="456" spans="2:43" x14ac:dyDescent="0.3">
      <c r="B456" s="161"/>
      <c r="C456" s="162"/>
      <c r="D456" s="162"/>
      <c r="E456" s="163"/>
      <c r="F456" s="192"/>
      <c r="G456" s="192"/>
      <c r="H456" s="192"/>
      <c r="I456" s="192"/>
      <c r="J456" s="186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8"/>
      <c r="V456" s="168"/>
      <c r="W456" s="169"/>
      <c r="X456" s="169"/>
      <c r="Y456" s="170"/>
      <c r="Z456" s="193"/>
      <c r="AA456" s="194"/>
      <c r="AB456" s="194"/>
      <c r="AC456" s="194"/>
      <c r="AD456" s="194"/>
      <c r="AE456" s="194"/>
      <c r="AF456" s="194"/>
      <c r="AG456" s="194"/>
      <c r="AH456" s="194"/>
      <c r="AI456" s="194"/>
      <c r="AJ456" s="194"/>
      <c r="AK456" s="195"/>
      <c r="AL456" s="164"/>
      <c r="AM456" s="164"/>
      <c r="AN456" s="164"/>
      <c r="AO456" s="164"/>
      <c r="AP456" s="164"/>
      <c r="AQ456" s="164"/>
    </row>
    <row r="457" spans="2:43" x14ac:dyDescent="0.3">
      <c r="B457" s="161"/>
      <c r="C457" s="162"/>
      <c r="D457" s="162"/>
      <c r="E457" s="163"/>
      <c r="F457" s="192"/>
      <c r="G457" s="192"/>
      <c r="H457" s="192"/>
      <c r="I457" s="192"/>
      <c r="J457" s="186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8"/>
      <c r="V457" s="168"/>
      <c r="W457" s="169"/>
      <c r="X457" s="169"/>
      <c r="Y457" s="170"/>
      <c r="Z457" s="193"/>
      <c r="AA457" s="194"/>
      <c r="AB457" s="194"/>
      <c r="AC457" s="194"/>
      <c r="AD457" s="194"/>
      <c r="AE457" s="194"/>
      <c r="AF457" s="194"/>
      <c r="AG457" s="194"/>
      <c r="AH457" s="194"/>
      <c r="AI457" s="194"/>
      <c r="AJ457" s="194"/>
      <c r="AK457" s="195"/>
      <c r="AL457" s="164"/>
      <c r="AM457" s="164"/>
      <c r="AN457" s="164"/>
      <c r="AO457" s="164"/>
      <c r="AP457" s="164"/>
      <c r="AQ457" s="164"/>
    </row>
    <row r="458" spans="2:43" x14ac:dyDescent="0.3">
      <c r="B458" s="161"/>
      <c r="C458" s="162"/>
      <c r="D458" s="162"/>
      <c r="E458" s="163"/>
      <c r="F458" s="192"/>
      <c r="G458" s="192"/>
      <c r="H458" s="192"/>
      <c r="I458" s="192"/>
      <c r="J458" s="189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1"/>
      <c r="V458" s="171"/>
      <c r="W458" s="172"/>
      <c r="X458" s="172"/>
      <c r="Y458" s="173"/>
      <c r="Z458" s="199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1"/>
      <c r="AL458" s="164"/>
      <c r="AM458" s="164"/>
      <c r="AN458" s="164"/>
      <c r="AO458" s="164"/>
      <c r="AP458" s="164"/>
      <c r="AQ458" s="164"/>
    </row>
    <row r="459" spans="2:43" x14ac:dyDescent="0.3">
      <c r="B459" s="161"/>
      <c r="C459" s="162"/>
      <c r="D459" s="162"/>
      <c r="E459" s="163"/>
      <c r="F459" s="192"/>
      <c r="G459" s="192"/>
      <c r="H459" s="192"/>
      <c r="I459" s="192"/>
      <c r="J459" s="183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5"/>
      <c r="V459" s="165"/>
      <c r="W459" s="166"/>
      <c r="X459" s="166"/>
      <c r="Y459" s="167"/>
      <c r="Z459" s="196"/>
      <c r="AA459" s="197"/>
      <c r="AB459" s="197"/>
      <c r="AC459" s="197"/>
      <c r="AD459" s="197"/>
      <c r="AE459" s="197"/>
      <c r="AF459" s="197"/>
      <c r="AG459" s="197"/>
      <c r="AH459" s="197"/>
      <c r="AI459" s="197"/>
      <c r="AJ459" s="197"/>
      <c r="AK459" s="198"/>
      <c r="AL459" s="164"/>
      <c r="AM459" s="164"/>
      <c r="AN459" s="164"/>
      <c r="AO459" s="164"/>
      <c r="AP459" s="164"/>
      <c r="AQ459" s="164"/>
    </row>
    <row r="460" spans="2:43" x14ac:dyDescent="0.3">
      <c r="B460" s="161"/>
      <c r="C460" s="162"/>
      <c r="D460" s="162"/>
      <c r="E460" s="163"/>
      <c r="F460" s="192"/>
      <c r="G460" s="192"/>
      <c r="H460" s="192"/>
      <c r="I460" s="192"/>
      <c r="J460" s="186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8"/>
      <c r="V460" s="168"/>
      <c r="W460" s="169"/>
      <c r="X460" s="169"/>
      <c r="Y460" s="170"/>
      <c r="Z460" s="193"/>
      <c r="AA460" s="194"/>
      <c r="AB460" s="194"/>
      <c r="AC460" s="194"/>
      <c r="AD460" s="194"/>
      <c r="AE460" s="194"/>
      <c r="AF460" s="194"/>
      <c r="AG460" s="194"/>
      <c r="AH460" s="194"/>
      <c r="AI460" s="194"/>
      <c r="AJ460" s="194"/>
      <c r="AK460" s="195"/>
      <c r="AL460" s="164"/>
      <c r="AM460" s="164"/>
      <c r="AN460" s="164"/>
      <c r="AO460" s="164"/>
      <c r="AP460" s="164"/>
      <c r="AQ460" s="164"/>
    </row>
    <row r="461" spans="2:43" x14ac:dyDescent="0.3">
      <c r="B461" s="161"/>
      <c r="C461" s="162"/>
      <c r="D461" s="162"/>
      <c r="E461" s="163"/>
      <c r="F461" s="192"/>
      <c r="G461" s="192"/>
      <c r="H461" s="192"/>
      <c r="I461" s="192"/>
      <c r="J461" s="186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8"/>
      <c r="V461" s="168"/>
      <c r="W461" s="169"/>
      <c r="X461" s="169"/>
      <c r="Y461" s="170"/>
      <c r="Z461" s="193"/>
      <c r="AA461" s="194"/>
      <c r="AB461" s="194"/>
      <c r="AC461" s="194"/>
      <c r="AD461" s="194"/>
      <c r="AE461" s="194"/>
      <c r="AF461" s="194"/>
      <c r="AG461" s="194"/>
      <c r="AH461" s="194"/>
      <c r="AI461" s="194"/>
      <c r="AJ461" s="194"/>
      <c r="AK461" s="195"/>
      <c r="AL461" s="164"/>
      <c r="AM461" s="164"/>
      <c r="AN461" s="164"/>
      <c r="AO461" s="164"/>
      <c r="AP461" s="164"/>
      <c r="AQ461" s="164"/>
    </row>
    <row r="462" spans="2:43" x14ac:dyDescent="0.3">
      <c r="B462" s="161"/>
      <c r="C462" s="162"/>
      <c r="D462" s="162"/>
      <c r="E462" s="163"/>
      <c r="F462" s="192"/>
      <c r="G462" s="192"/>
      <c r="H462" s="192"/>
      <c r="I462" s="192"/>
      <c r="J462" s="186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8"/>
      <c r="V462" s="168"/>
      <c r="W462" s="169"/>
      <c r="X462" s="169"/>
      <c r="Y462" s="170"/>
      <c r="Z462" s="193"/>
      <c r="AA462" s="194"/>
      <c r="AB462" s="194"/>
      <c r="AC462" s="194"/>
      <c r="AD462" s="194"/>
      <c r="AE462" s="194"/>
      <c r="AF462" s="194"/>
      <c r="AG462" s="194"/>
      <c r="AH462" s="194"/>
      <c r="AI462" s="194"/>
      <c r="AJ462" s="194"/>
      <c r="AK462" s="195"/>
      <c r="AL462" s="164"/>
      <c r="AM462" s="164"/>
      <c r="AN462" s="164"/>
      <c r="AO462" s="164"/>
      <c r="AP462" s="164"/>
      <c r="AQ462" s="164"/>
    </row>
    <row r="463" spans="2:43" x14ac:dyDescent="0.3">
      <c r="B463" s="161"/>
      <c r="C463" s="162"/>
      <c r="D463" s="162"/>
      <c r="E463" s="163"/>
      <c r="F463" s="192"/>
      <c r="G463" s="192"/>
      <c r="H463" s="192"/>
      <c r="I463" s="192"/>
      <c r="J463" s="186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8"/>
      <c r="V463" s="168"/>
      <c r="W463" s="169"/>
      <c r="X463" s="169"/>
      <c r="Y463" s="170"/>
      <c r="Z463" s="193"/>
      <c r="AA463" s="194"/>
      <c r="AB463" s="194"/>
      <c r="AC463" s="194"/>
      <c r="AD463" s="194"/>
      <c r="AE463" s="194"/>
      <c r="AF463" s="194"/>
      <c r="AG463" s="194"/>
      <c r="AH463" s="194"/>
      <c r="AI463" s="194"/>
      <c r="AJ463" s="194"/>
      <c r="AK463" s="195"/>
      <c r="AL463" s="164"/>
      <c r="AM463" s="164"/>
      <c r="AN463" s="164"/>
      <c r="AO463" s="164"/>
      <c r="AP463" s="164"/>
      <c r="AQ463" s="164"/>
    </row>
    <row r="464" spans="2:43" x14ac:dyDescent="0.3">
      <c r="B464" s="161"/>
      <c r="C464" s="162"/>
      <c r="D464" s="162"/>
      <c r="E464" s="163"/>
      <c r="F464" s="192"/>
      <c r="G464" s="192"/>
      <c r="H464" s="192"/>
      <c r="I464" s="192"/>
      <c r="J464" s="186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8"/>
      <c r="V464" s="168"/>
      <c r="W464" s="169"/>
      <c r="X464" s="169"/>
      <c r="Y464" s="170"/>
      <c r="Z464" s="193"/>
      <c r="AA464" s="194"/>
      <c r="AB464" s="194"/>
      <c r="AC464" s="194"/>
      <c r="AD464" s="194"/>
      <c r="AE464" s="194"/>
      <c r="AF464" s="194"/>
      <c r="AG464" s="194"/>
      <c r="AH464" s="194"/>
      <c r="AI464" s="194"/>
      <c r="AJ464" s="194"/>
      <c r="AK464" s="195"/>
      <c r="AL464" s="164"/>
      <c r="AM464" s="164"/>
      <c r="AN464" s="164"/>
      <c r="AO464" s="164"/>
      <c r="AP464" s="164"/>
      <c r="AQ464" s="164"/>
    </row>
    <row r="465" spans="2:43" x14ac:dyDescent="0.3">
      <c r="B465" s="161"/>
      <c r="C465" s="162"/>
      <c r="D465" s="162"/>
      <c r="E465" s="163"/>
      <c r="F465" s="192"/>
      <c r="G465" s="192"/>
      <c r="H465" s="192"/>
      <c r="I465" s="192"/>
      <c r="J465" s="186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8"/>
      <c r="V465" s="168"/>
      <c r="W465" s="169"/>
      <c r="X465" s="169"/>
      <c r="Y465" s="170"/>
      <c r="Z465" s="193"/>
      <c r="AA465" s="194"/>
      <c r="AB465" s="194"/>
      <c r="AC465" s="194"/>
      <c r="AD465" s="194"/>
      <c r="AE465" s="194"/>
      <c r="AF465" s="194"/>
      <c r="AG465" s="194"/>
      <c r="AH465" s="194"/>
      <c r="AI465" s="194"/>
      <c r="AJ465" s="194"/>
      <c r="AK465" s="195"/>
      <c r="AL465" s="164"/>
      <c r="AM465" s="164"/>
      <c r="AN465" s="164"/>
      <c r="AO465" s="164"/>
      <c r="AP465" s="164"/>
      <c r="AQ465" s="164"/>
    </row>
    <row r="466" spans="2:43" x14ac:dyDescent="0.3">
      <c r="B466" s="161"/>
      <c r="C466" s="162"/>
      <c r="D466" s="162"/>
      <c r="E466" s="163"/>
      <c r="F466" s="192"/>
      <c r="G466" s="192"/>
      <c r="H466" s="192"/>
      <c r="I466" s="192"/>
      <c r="J466" s="189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1"/>
      <c r="V466" s="171"/>
      <c r="W466" s="172"/>
      <c r="X466" s="172"/>
      <c r="Y466" s="173"/>
      <c r="Z466" s="199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1"/>
      <c r="AL466" s="164"/>
      <c r="AM466" s="164"/>
      <c r="AN466" s="164"/>
      <c r="AO466" s="164"/>
      <c r="AP466" s="164"/>
      <c r="AQ466" s="164"/>
    </row>
    <row r="467" spans="2:43" x14ac:dyDescent="0.3">
      <c r="B467" s="161"/>
      <c r="C467" s="162"/>
      <c r="D467" s="162"/>
      <c r="E467" s="163"/>
      <c r="F467" s="192"/>
      <c r="G467" s="192"/>
      <c r="H467" s="192"/>
      <c r="I467" s="192"/>
      <c r="J467" s="183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5"/>
      <c r="V467" s="165"/>
      <c r="W467" s="166"/>
      <c r="X467" s="166"/>
      <c r="Y467" s="167"/>
      <c r="Z467" s="196"/>
      <c r="AA467" s="197"/>
      <c r="AB467" s="197"/>
      <c r="AC467" s="197"/>
      <c r="AD467" s="197"/>
      <c r="AE467" s="197"/>
      <c r="AF467" s="197"/>
      <c r="AG467" s="197"/>
      <c r="AH467" s="197"/>
      <c r="AI467" s="197"/>
      <c r="AJ467" s="197"/>
      <c r="AK467" s="198"/>
      <c r="AL467" s="164"/>
      <c r="AM467" s="164"/>
      <c r="AN467" s="164"/>
      <c r="AO467" s="164"/>
      <c r="AP467" s="164"/>
      <c r="AQ467" s="164"/>
    </row>
    <row r="468" spans="2:43" x14ac:dyDescent="0.3">
      <c r="B468" s="161"/>
      <c r="C468" s="162"/>
      <c r="D468" s="162"/>
      <c r="E468" s="163"/>
      <c r="F468" s="192"/>
      <c r="G468" s="192"/>
      <c r="H468" s="192"/>
      <c r="I468" s="192"/>
      <c r="J468" s="186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8"/>
      <c r="V468" s="168"/>
      <c r="W468" s="169"/>
      <c r="X468" s="169"/>
      <c r="Y468" s="170"/>
      <c r="Z468" s="193"/>
      <c r="AA468" s="194"/>
      <c r="AB468" s="194"/>
      <c r="AC468" s="194"/>
      <c r="AD468" s="194"/>
      <c r="AE468" s="194"/>
      <c r="AF468" s="194"/>
      <c r="AG468" s="194"/>
      <c r="AH468" s="194"/>
      <c r="AI468" s="194"/>
      <c r="AJ468" s="194"/>
      <c r="AK468" s="195"/>
      <c r="AL468" s="164"/>
      <c r="AM468" s="164"/>
      <c r="AN468" s="164"/>
      <c r="AO468" s="164"/>
      <c r="AP468" s="164"/>
      <c r="AQ468" s="164"/>
    </row>
    <row r="469" spans="2:43" x14ac:dyDescent="0.3">
      <c r="B469" s="161"/>
      <c r="C469" s="162"/>
      <c r="D469" s="162"/>
      <c r="E469" s="163"/>
      <c r="F469" s="192"/>
      <c r="G469" s="192"/>
      <c r="H469" s="192"/>
      <c r="I469" s="192"/>
      <c r="J469" s="186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8"/>
      <c r="V469" s="168"/>
      <c r="W469" s="169"/>
      <c r="X469" s="169"/>
      <c r="Y469" s="170"/>
      <c r="Z469" s="193"/>
      <c r="AA469" s="194"/>
      <c r="AB469" s="194"/>
      <c r="AC469" s="194"/>
      <c r="AD469" s="194"/>
      <c r="AE469" s="194"/>
      <c r="AF469" s="194"/>
      <c r="AG469" s="194"/>
      <c r="AH469" s="194"/>
      <c r="AI469" s="194"/>
      <c r="AJ469" s="194"/>
      <c r="AK469" s="195"/>
      <c r="AL469" s="164"/>
      <c r="AM469" s="164"/>
      <c r="AN469" s="164"/>
      <c r="AO469" s="164"/>
      <c r="AP469" s="164"/>
      <c r="AQ469" s="164"/>
    </row>
    <row r="470" spans="2:43" x14ac:dyDescent="0.3">
      <c r="B470" s="161"/>
      <c r="C470" s="162"/>
      <c r="D470" s="162"/>
      <c r="E470" s="163"/>
      <c r="F470" s="192"/>
      <c r="G470" s="192"/>
      <c r="H470" s="192"/>
      <c r="I470" s="192"/>
      <c r="J470" s="186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8"/>
      <c r="V470" s="168"/>
      <c r="W470" s="169"/>
      <c r="X470" s="169"/>
      <c r="Y470" s="170"/>
      <c r="Z470" s="193"/>
      <c r="AA470" s="194"/>
      <c r="AB470" s="194"/>
      <c r="AC470" s="194"/>
      <c r="AD470" s="194"/>
      <c r="AE470" s="194"/>
      <c r="AF470" s="194"/>
      <c r="AG470" s="194"/>
      <c r="AH470" s="194"/>
      <c r="AI470" s="194"/>
      <c r="AJ470" s="194"/>
      <c r="AK470" s="195"/>
      <c r="AL470" s="164"/>
      <c r="AM470" s="164"/>
      <c r="AN470" s="164"/>
      <c r="AO470" s="164"/>
      <c r="AP470" s="164"/>
      <c r="AQ470" s="164"/>
    </row>
    <row r="471" spans="2:43" x14ac:dyDescent="0.3">
      <c r="B471" s="161"/>
      <c r="C471" s="162"/>
      <c r="D471" s="162"/>
      <c r="E471" s="163"/>
      <c r="F471" s="192"/>
      <c r="G471" s="192"/>
      <c r="H471" s="192"/>
      <c r="I471" s="192"/>
      <c r="J471" s="186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8"/>
      <c r="V471" s="168"/>
      <c r="W471" s="169"/>
      <c r="X471" s="169"/>
      <c r="Y471" s="170"/>
      <c r="Z471" s="193"/>
      <c r="AA471" s="194"/>
      <c r="AB471" s="194"/>
      <c r="AC471" s="194"/>
      <c r="AD471" s="194"/>
      <c r="AE471" s="194"/>
      <c r="AF471" s="194"/>
      <c r="AG471" s="194"/>
      <c r="AH471" s="194"/>
      <c r="AI471" s="194"/>
      <c r="AJ471" s="194"/>
      <c r="AK471" s="195"/>
      <c r="AL471" s="164"/>
      <c r="AM471" s="164"/>
      <c r="AN471" s="164"/>
      <c r="AO471" s="164"/>
      <c r="AP471" s="164"/>
      <c r="AQ471" s="164"/>
    </row>
    <row r="472" spans="2:43" x14ac:dyDescent="0.3">
      <c r="B472" s="161"/>
      <c r="C472" s="162"/>
      <c r="D472" s="162"/>
      <c r="E472" s="163"/>
      <c r="F472" s="192"/>
      <c r="G472" s="192"/>
      <c r="H472" s="192"/>
      <c r="I472" s="192"/>
      <c r="J472" s="186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8"/>
      <c r="V472" s="168"/>
      <c r="W472" s="169"/>
      <c r="X472" s="169"/>
      <c r="Y472" s="170"/>
      <c r="Z472" s="193"/>
      <c r="AA472" s="194"/>
      <c r="AB472" s="194"/>
      <c r="AC472" s="194"/>
      <c r="AD472" s="194"/>
      <c r="AE472" s="194"/>
      <c r="AF472" s="194"/>
      <c r="AG472" s="194"/>
      <c r="AH472" s="194"/>
      <c r="AI472" s="194"/>
      <c r="AJ472" s="194"/>
      <c r="AK472" s="195"/>
      <c r="AL472" s="164"/>
      <c r="AM472" s="164"/>
      <c r="AN472" s="164"/>
      <c r="AO472" s="164"/>
      <c r="AP472" s="164"/>
      <c r="AQ472" s="164"/>
    </row>
    <row r="473" spans="2:43" x14ac:dyDescent="0.3">
      <c r="B473" s="161"/>
      <c r="C473" s="162"/>
      <c r="D473" s="162"/>
      <c r="E473" s="163"/>
      <c r="F473" s="192"/>
      <c r="G473" s="192"/>
      <c r="H473" s="192"/>
      <c r="I473" s="192"/>
      <c r="J473" s="186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8"/>
      <c r="V473" s="168"/>
      <c r="W473" s="169"/>
      <c r="X473" s="169"/>
      <c r="Y473" s="170"/>
      <c r="Z473" s="193"/>
      <c r="AA473" s="194"/>
      <c r="AB473" s="194"/>
      <c r="AC473" s="194"/>
      <c r="AD473" s="194"/>
      <c r="AE473" s="194"/>
      <c r="AF473" s="194"/>
      <c r="AG473" s="194"/>
      <c r="AH473" s="194"/>
      <c r="AI473" s="194"/>
      <c r="AJ473" s="194"/>
      <c r="AK473" s="195"/>
      <c r="AL473" s="164"/>
      <c r="AM473" s="164"/>
      <c r="AN473" s="164"/>
      <c r="AO473" s="164"/>
      <c r="AP473" s="164"/>
      <c r="AQ473" s="164"/>
    </row>
    <row r="474" spans="2:43" x14ac:dyDescent="0.3">
      <c r="B474" s="161"/>
      <c r="C474" s="162"/>
      <c r="D474" s="162"/>
      <c r="E474" s="163"/>
      <c r="F474" s="192"/>
      <c r="G474" s="192"/>
      <c r="H474" s="192"/>
      <c r="I474" s="192"/>
      <c r="J474" s="189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1"/>
      <c r="V474" s="171"/>
      <c r="W474" s="172"/>
      <c r="X474" s="172"/>
      <c r="Y474" s="173"/>
      <c r="Z474" s="199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1"/>
      <c r="AL474" s="164"/>
      <c r="AM474" s="164"/>
      <c r="AN474" s="164"/>
      <c r="AO474" s="164"/>
      <c r="AP474" s="164"/>
      <c r="AQ474" s="164"/>
    </row>
    <row r="475" spans="2:43" x14ac:dyDescent="0.3">
      <c r="B475" s="161"/>
      <c r="C475" s="162"/>
      <c r="D475" s="162"/>
      <c r="E475" s="163"/>
      <c r="F475" s="192"/>
      <c r="G475" s="192"/>
      <c r="H475" s="192"/>
      <c r="I475" s="192"/>
      <c r="J475" s="183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5"/>
      <c r="V475" s="165"/>
      <c r="W475" s="166"/>
      <c r="X475" s="166"/>
      <c r="Y475" s="167"/>
      <c r="Z475" s="196"/>
      <c r="AA475" s="197"/>
      <c r="AB475" s="197"/>
      <c r="AC475" s="197"/>
      <c r="AD475" s="197"/>
      <c r="AE475" s="197"/>
      <c r="AF475" s="197"/>
      <c r="AG475" s="197"/>
      <c r="AH475" s="197"/>
      <c r="AI475" s="197"/>
      <c r="AJ475" s="197"/>
      <c r="AK475" s="198"/>
      <c r="AL475" s="164"/>
      <c r="AM475" s="164"/>
      <c r="AN475" s="164"/>
      <c r="AO475" s="164"/>
      <c r="AP475" s="164"/>
      <c r="AQ475" s="164"/>
    </row>
    <row r="476" spans="2:43" x14ac:dyDescent="0.3">
      <c r="B476" s="161"/>
      <c r="C476" s="162"/>
      <c r="D476" s="162"/>
      <c r="E476" s="163"/>
      <c r="F476" s="192"/>
      <c r="G476" s="192"/>
      <c r="H476" s="192"/>
      <c r="I476" s="192"/>
      <c r="J476" s="186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8"/>
      <c r="V476" s="168"/>
      <c r="W476" s="169"/>
      <c r="X476" s="169"/>
      <c r="Y476" s="170"/>
      <c r="Z476" s="193"/>
      <c r="AA476" s="194"/>
      <c r="AB476" s="194"/>
      <c r="AC476" s="194"/>
      <c r="AD476" s="194"/>
      <c r="AE476" s="194"/>
      <c r="AF476" s="194"/>
      <c r="AG476" s="194"/>
      <c r="AH476" s="194"/>
      <c r="AI476" s="194"/>
      <c r="AJ476" s="194"/>
      <c r="AK476" s="195"/>
      <c r="AL476" s="164"/>
      <c r="AM476" s="164"/>
      <c r="AN476" s="164"/>
      <c r="AO476" s="164"/>
      <c r="AP476" s="164"/>
      <c r="AQ476" s="164"/>
    </row>
    <row r="477" spans="2:43" x14ac:dyDescent="0.3">
      <c r="B477" s="161"/>
      <c r="C477" s="162"/>
      <c r="D477" s="162"/>
      <c r="E477" s="163"/>
      <c r="F477" s="192"/>
      <c r="G477" s="192"/>
      <c r="H477" s="192"/>
      <c r="I477" s="192"/>
      <c r="J477" s="186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8"/>
      <c r="V477" s="168"/>
      <c r="W477" s="169"/>
      <c r="X477" s="169"/>
      <c r="Y477" s="170"/>
      <c r="Z477" s="193"/>
      <c r="AA477" s="194"/>
      <c r="AB477" s="194"/>
      <c r="AC477" s="194"/>
      <c r="AD477" s="194"/>
      <c r="AE477" s="194"/>
      <c r="AF477" s="194"/>
      <c r="AG477" s="194"/>
      <c r="AH477" s="194"/>
      <c r="AI477" s="194"/>
      <c r="AJ477" s="194"/>
      <c r="AK477" s="195"/>
      <c r="AL477" s="164"/>
      <c r="AM477" s="164"/>
      <c r="AN477" s="164"/>
      <c r="AO477" s="164"/>
      <c r="AP477" s="164"/>
      <c r="AQ477" s="164"/>
    </row>
    <row r="478" spans="2:43" x14ac:dyDescent="0.3">
      <c r="B478" s="161"/>
      <c r="C478" s="162"/>
      <c r="D478" s="162"/>
      <c r="E478" s="163"/>
      <c r="F478" s="192"/>
      <c r="G478" s="192"/>
      <c r="H478" s="192"/>
      <c r="I478" s="192"/>
      <c r="J478" s="186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8"/>
      <c r="V478" s="168"/>
      <c r="W478" s="169"/>
      <c r="X478" s="169"/>
      <c r="Y478" s="170"/>
      <c r="Z478" s="193"/>
      <c r="AA478" s="194"/>
      <c r="AB478" s="194"/>
      <c r="AC478" s="194"/>
      <c r="AD478" s="194"/>
      <c r="AE478" s="194"/>
      <c r="AF478" s="194"/>
      <c r="AG478" s="194"/>
      <c r="AH478" s="194"/>
      <c r="AI478" s="194"/>
      <c r="AJ478" s="194"/>
      <c r="AK478" s="195"/>
      <c r="AL478" s="164"/>
      <c r="AM478" s="164"/>
      <c r="AN478" s="164"/>
      <c r="AO478" s="164"/>
      <c r="AP478" s="164"/>
      <c r="AQ478" s="164"/>
    </row>
    <row r="479" spans="2:43" x14ac:dyDescent="0.3">
      <c r="B479" s="161"/>
      <c r="C479" s="162"/>
      <c r="D479" s="162"/>
      <c r="E479" s="163"/>
      <c r="F479" s="192"/>
      <c r="G479" s="192"/>
      <c r="H479" s="192"/>
      <c r="I479" s="192"/>
      <c r="J479" s="186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8"/>
      <c r="V479" s="168"/>
      <c r="W479" s="169"/>
      <c r="X479" s="169"/>
      <c r="Y479" s="170"/>
      <c r="Z479" s="193"/>
      <c r="AA479" s="194"/>
      <c r="AB479" s="194"/>
      <c r="AC479" s="194"/>
      <c r="AD479" s="194"/>
      <c r="AE479" s="194"/>
      <c r="AF479" s="194"/>
      <c r="AG479" s="194"/>
      <c r="AH479" s="194"/>
      <c r="AI479" s="194"/>
      <c r="AJ479" s="194"/>
      <c r="AK479" s="195"/>
      <c r="AL479" s="164"/>
      <c r="AM479" s="164"/>
      <c r="AN479" s="164"/>
      <c r="AO479" s="164"/>
      <c r="AP479" s="164"/>
      <c r="AQ479" s="164"/>
    </row>
    <row r="480" spans="2:43" x14ac:dyDescent="0.3">
      <c r="B480" s="161"/>
      <c r="C480" s="162"/>
      <c r="D480" s="162"/>
      <c r="E480" s="163"/>
      <c r="F480" s="192"/>
      <c r="G480" s="192"/>
      <c r="H480" s="192"/>
      <c r="I480" s="192"/>
      <c r="J480" s="186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8"/>
      <c r="V480" s="168"/>
      <c r="W480" s="169"/>
      <c r="X480" s="169"/>
      <c r="Y480" s="170"/>
      <c r="Z480" s="193"/>
      <c r="AA480" s="194"/>
      <c r="AB480" s="194"/>
      <c r="AC480" s="194"/>
      <c r="AD480" s="194"/>
      <c r="AE480" s="194"/>
      <c r="AF480" s="194"/>
      <c r="AG480" s="194"/>
      <c r="AH480" s="194"/>
      <c r="AI480" s="194"/>
      <c r="AJ480" s="194"/>
      <c r="AK480" s="195"/>
      <c r="AL480" s="164"/>
      <c r="AM480" s="164"/>
      <c r="AN480" s="164"/>
      <c r="AO480" s="164"/>
      <c r="AP480" s="164"/>
      <c r="AQ480" s="164"/>
    </row>
    <row r="481" spans="2:43" x14ac:dyDescent="0.3">
      <c r="B481" s="161"/>
      <c r="C481" s="162"/>
      <c r="D481" s="162"/>
      <c r="E481" s="163"/>
      <c r="F481" s="192"/>
      <c r="G481" s="192"/>
      <c r="H481" s="192"/>
      <c r="I481" s="192"/>
      <c r="J481" s="186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8"/>
      <c r="V481" s="168"/>
      <c r="W481" s="169"/>
      <c r="X481" s="169"/>
      <c r="Y481" s="170"/>
      <c r="Z481" s="193"/>
      <c r="AA481" s="194"/>
      <c r="AB481" s="194"/>
      <c r="AC481" s="194"/>
      <c r="AD481" s="194"/>
      <c r="AE481" s="194"/>
      <c r="AF481" s="194"/>
      <c r="AG481" s="194"/>
      <c r="AH481" s="194"/>
      <c r="AI481" s="194"/>
      <c r="AJ481" s="194"/>
      <c r="AK481" s="195"/>
      <c r="AL481" s="164"/>
      <c r="AM481" s="164"/>
      <c r="AN481" s="164"/>
      <c r="AO481" s="164"/>
      <c r="AP481" s="164"/>
      <c r="AQ481" s="164"/>
    </row>
    <row r="482" spans="2:43" x14ac:dyDescent="0.3">
      <c r="B482" s="161"/>
      <c r="C482" s="162"/>
      <c r="D482" s="162"/>
      <c r="E482" s="163"/>
      <c r="F482" s="192"/>
      <c r="G482" s="192"/>
      <c r="H482" s="192"/>
      <c r="I482" s="192"/>
      <c r="J482" s="189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1"/>
      <c r="V482" s="171"/>
      <c r="W482" s="172"/>
      <c r="X482" s="172"/>
      <c r="Y482" s="173"/>
      <c r="Z482" s="199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1"/>
      <c r="AL482" s="164"/>
      <c r="AM482" s="164"/>
      <c r="AN482" s="164"/>
      <c r="AO482" s="164"/>
      <c r="AP482" s="164"/>
      <c r="AQ482" s="164"/>
    </row>
    <row r="483" spans="2:43" x14ac:dyDescent="0.3">
      <c r="B483" s="161"/>
      <c r="C483" s="162"/>
      <c r="D483" s="162"/>
      <c r="E483" s="163"/>
      <c r="F483" s="192"/>
      <c r="G483" s="192"/>
      <c r="H483" s="192"/>
      <c r="I483" s="192"/>
      <c r="J483" s="183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5"/>
      <c r="V483" s="165"/>
      <c r="W483" s="166"/>
      <c r="X483" s="166"/>
      <c r="Y483" s="167"/>
      <c r="Z483" s="196"/>
      <c r="AA483" s="197"/>
      <c r="AB483" s="197"/>
      <c r="AC483" s="197"/>
      <c r="AD483" s="197"/>
      <c r="AE483" s="197"/>
      <c r="AF483" s="197"/>
      <c r="AG483" s="197"/>
      <c r="AH483" s="197"/>
      <c r="AI483" s="197"/>
      <c r="AJ483" s="197"/>
      <c r="AK483" s="198"/>
      <c r="AL483" s="164"/>
      <c r="AM483" s="164"/>
      <c r="AN483" s="164"/>
      <c r="AO483" s="164"/>
      <c r="AP483" s="164"/>
      <c r="AQ483" s="164"/>
    </row>
    <row r="484" spans="2:43" x14ac:dyDescent="0.3">
      <c r="B484" s="161"/>
      <c r="C484" s="162"/>
      <c r="D484" s="162"/>
      <c r="E484" s="163"/>
      <c r="F484" s="192"/>
      <c r="G484" s="192"/>
      <c r="H484" s="192"/>
      <c r="I484" s="192"/>
      <c r="J484" s="186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8"/>
      <c r="V484" s="168"/>
      <c r="W484" s="169"/>
      <c r="X484" s="169"/>
      <c r="Y484" s="170"/>
      <c r="Z484" s="193"/>
      <c r="AA484" s="194"/>
      <c r="AB484" s="194"/>
      <c r="AC484" s="194"/>
      <c r="AD484" s="194"/>
      <c r="AE484" s="194"/>
      <c r="AF484" s="194"/>
      <c r="AG484" s="194"/>
      <c r="AH484" s="194"/>
      <c r="AI484" s="194"/>
      <c r="AJ484" s="194"/>
      <c r="AK484" s="195"/>
      <c r="AL484" s="164"/>
      <c r="AM484" s="164"/>
      <c r="AN484" s="164"/>
      <c r="AO484" s="164"/>
      <c r="AP484" s="164"/>
      <c r="AQ484" s="164"/>
    </row>
    <row r="485" spans="2:43" x14ac:dyDescent="0.3">
      <c r="B485" s="161"/>
      <c r="C485" s="162"/>
      <c r="D485" s="162"/>
      <c r="E485" s="163"/>
      <c r="F485" s="192"/>
      <c r="G485" s="192"/>
      <c r="H485" s="192"/>
      <c r="I485" s="192"/>
      <c r="J485" s="186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8"/>
      <c r="V485" s="168"/>
      <c r="W485" s="169"/>
      <c r="X485" s="169"/>
      <c r="Y485" s="170"/>
      <c r="Z485" s="193"/>
      <c r="AA485" s="194"/>
      <c r="AB485" s="194"/>
      <c r="AC485" s="194"/>
      <c r="AD485" s="194"/>
      <c r="AE485" s="194"/>
      <c r="AF485" s="194"/>
      <c r="AG485" s="194"/>
      <c r="AH485" s="194"/>
      <c r="AI485" s="194"/>
      <c r="AJ485" s="194"/>
      <c r="AK485" s="195"/>
      <c r="AL485" s="164"/>
      <c r="AM485" s="164"/>
      <c r="AN485" s="164"/>
      <c r="AO485" s="164"/>
      <c r="AP485" s="164"/>
      <c r="AQ485" s="164"/>
    </row>
    <row r="486" spans="2:43" x14ac:dyDescent="0.3">
      <c r="B486" s="161"/>
      <c r="C486" s="162"/>
      <c r="D486" s="162"/>
      <c r="E486" s="163"/>
      <c r="F486" s="192"/>
      <c r="G486" s="192"/>
      <c r="H486" s="192"/>
      <c r="I486" s="192"/>
      <c r="J486" s="186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8"/>
      <c r="V486" s="168"/>
      <c r="W486" s="169"/>
      <c r="X486" s="169"/>
      <c r="Y486" s="170"/>
      <c r="Z486" s="193"/>
      <c r="AA486" s="194"/>
      <c r="AB486" s="194"/>
      <c r="AC486" s="194"/>
      <c r="AD486" s="194"/>
      <c r="AE486" s="194"/>
      <c r="AF486" s="194"/>
      <c r="AG486" s="194"/>
      <c r="AH486" s="194"/>
      <c r="AI486" s="194"/>
      <c r="AJ486" s="194"/>
      <c r="AK486" s="195"/>
      <c r="AL486" s="164"/>
      <c r="AM486" s="164"/>
      <c r="AN486" s="164"/>
      <c r="AO486" s="164"/>
      <c r="AP486" s="164"/>
      <c r="AQ486" s="164"/>
    </row>
    <row r="487" spans="2:43" x14ac:dyDescent="0.3">
      <c r="B487" s="161"/>
      <c r="C487" s="162"/>
      <c r="D487" s="162"/>
      <c r="E487" s="163"/>
      <c r="F487" s="192"/>
      <c r="G487" s="192"/>
      <c r="H487" s="192"/>
      <c r="I487" s="192"/>
      <c r="J487" s="186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8"/>
      <c r="V487" s="168"/>
      <c r="W487" s="169"/>
      <c r="X487" s="169"/>
      <c r="Y487" s="170"/>
      <c r="Z487" s="193"/>
      <c r="AA487" s="194"/>
      <c r="AB487" s="194"/>
      <c r="AC487" s="194"/>
      <c r="AD487" s="194"/>
      <c r="AE487" s="194"/>
      <c r="AF487" s="194"/>
      <c r="AG487" s="194"/>
      <c r="AH487" s="194"/>
      <c r="AI487" s="194"/>
      <c r="AJ487" s="194"/>
      <c r="AK487" s="195"/>
      <c r="AL487" s="164"/>
      <c r="AM487" s="164"/>
      <c r="AN487" s="164"/>
      <c r="AO487" s="164"/>
      <c r="AP487" s="164"/>
      <c r="AQ487" s="164"/>
    </row>
    <row r="488" spans="2:43" x14ac:dyDescent="0.3">
      <c r="B488" s="161"/>
      <c r="C488" s="162"/>
      <c r="D488" s="162"/>
      <c r="E488" s="163"/>
      <c r="F488" s="192"/>
      <c r="G488" s="192"/>
      <c r="H488" s="192"/>
      <c r="I488" s="192"/>
      <c r="J488" s="186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8"/>
      <c r="V488" s="168"/>
      <c r="W488" s="169"/>
      <c r="X488" s="169"/>
      <c r="Y488" s="170"/>
      <c r="Z488" s="193"/>
      <c r="AA488" s="194"/>
      <c r="AB488" s="194"/>
      <c r="AC488" s="194"/>
      <c r="AD488" s="194"/>
      <c r="AE488" s="194"/>
      <c r="AF488" s="194"/>
      <c r="AG488" s="194"/>
      <c r="AH488" s="194"/>
      <c r="AI488" s="194"/>
      <c r="AJ488" s="194"/>
      <c r="AK488" s="195"/>
      <c r="AL488" s="164"/>
      <c r="AM488" s="164"/>
      <c r="AN488" s="164"/>
      <c r="AO488" s="164"/>
      <c r="AP488" s="164"/>
      <c r="AQ488" s="164"/>
    </row>
    <row r="489" spans="2:43" x14ac:dyDescent="0.3">
      <c r="B489" s="161"/>
      <c r="C489" s="162"/>
      <c r="D489" s="162"/>
      <c r="E489" s="163"/>
      <c r="F489" s="192"/>
      <c r="G489" s="192"/>
      <c r="H489" s="192"/>
      <c r="I489" s="192"/>
      <c r="J489" s="186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8"/>
      <c r="V489" s="168"/>
      <c r="W489" s="169"/>
      <c r="X489" s="169"/>
      <c r="Y489" s="170"/>
      <c r="Z489" s="193"/>
      <c r="AA489" s="194"/>
      <c r="AB489" s="194"/>
      <c r="AC489" s="194"/>
      <c r="AD489" s="194"/>
      <c r="AE489" s="194"/>
      <c r="AF489" s="194"/>
      <c r="AG489" s="194"/>
      <c r="AH489" s="194"/>
      <c r="AI489" s="194"/>
      <c r="AJ489" s="194"/>
      <c r="AK489" s="195"/>
      <c r="AL489" s="164"/>
      <c r="AM489" s="164"/>
      <c r="AN489" s="164"/>
      <c r="AO489" s="164"/>
      <c r="AP489" s="164"/>
      <c r="AQ489" s="164"/>
    </row>
    <row r="490" spans="2:43" x14ac:dyDescent="0.3">
      <c r="B490" s="161"/>
      <c r="C490" s="162"/>
      <c r="D490" s="162"/>
      <c r="E490" s="163"/>
      <c r="F490" s="192"/>
      <c r="G490" s="192"/>
      <c r="H490" s="192"/>
      <c r="I490" s="192"/>
      <c r="J490" s="189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1"/>
      <c r="V490" s="171"/>
      <c r="W490" s="172"/>
      <c r="X490" s="172"/>
      <c r="Y490" s="173"/>
      <c r="Z490" s="199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1"/>
      <c r="AL490" s="164"/>
      <c r="AM490" s="164"/>
      <c r="AN490" s="164"/>
      <c r="AO490" s="164"/>
      <c r="AP490" s="164"/>
      <c r="AQ490" s="164"/>
    </row>
    <row r="491" spans="2:43" x14ac:dyDescent="0.3">
      <c r="B491" s="161"/>
      <c r="C491" s="162"/>
      <c r="D491" s="162"/>
      <c r="E491" s="163"/>
      <c r="F491" s="192"/>
      <c r="G491" s="192"/>
      <c r="H491" s="192"/>
      <c r="I491" s="192"/>
      <c r="J491" s="183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5"/>
      <c r="V491" s="165"/>
      <c r="W491" s="166"/>
      <c r="X491" s="166"/>
      <c r="Y491" s="167"/>
      <c r="Z491" s="196"/>
      <c r="AA491" s="197"/>
      <c r="AB491" s="197"/>
      <c r="AC491" s="197"/>
      <c r="AD491" s="197"/>
      <c r="AE491" s="197"/>
      <c r="AF491" s="197"/>
      <c r="AG491" s="197"/>
      <c r="AH491" s="197"/>
      <c r="AI491" s="197"/>
      <c r="AJ491" s="197"/>
      <c r="AK491" s="198"/>
      <c r="AL491" s="164"/>
      <c r="AM491" s="164"/>
      <c r="AN491" s="164"/>
      <c r="AO491" s="164"/>
      <c r="AP491" s="164"/>
      <c r="AQ491" s="164"/>
    </row>
    <row r="492" spans="2:43" x14ac:dyDescent="0.3">
      <c r="B492" s="161"/>
      <c r="C492" s="162"/>
      <c r="D492" s="162"/>
      <c r="E492" s="163"/>
      <c r="F492" s="192"/>
      <c r="G492" s="192"/>
      <c r="H492" s="192"/>
      <c r="I492" s="192"/>
      <c r="J492" s="186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8"/>
      <c r="V492" s="168"/>
      <c r="W492" s="169"/>
      <c r="X492" s="169"/>
      <c r="Y492" s="170"/>
      <c r="Z492" s="193"/>
      <c r="AA492" s="194"/>
      <c r="AB492" s="194"/>
      <c r="AC492" s="194"/>
      <c r="AD492" s="194"/>
      <c r="AE492" s="194"/>
      <c r="AF492" s="194"/>
      <c r="AG492" s="194"/>
      <c r="AH492" s="194"/>
      <c r="AI492" s="194"/>
      <c r="AJ492" s="194"/>
      <c r="AK492" s="195"/>
      <c r="AL492" s="164"/>
      <c r="AM492" s="164"/>
      <c r="AN492" s="164"/>
      <c r="AO492" s="164"/>
      <c r="AP492" s="164"/>
      <c r="AQ492" s="164"/>
    </row>
    <row r="493" spans="2:43" x14ac:dyDescent="0.3">
      <c r="B493" s="161"/>
      <c r="C493" s="162"/>
      <c r="D493" s="162"/>
      <c r="E493" s="163"/>
      <c r="F493" s="192"/>
      <c r="G493" s="192"/>
      <c r="H493" s="192"/>
      <c r="I493" s="192"/>
      <c r="J493" s="186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8"/>
      <c r="V493" s="168"/>
      <c r="W493" s="169"/>
      <c r="X493" s="169"/>
      <c r="Y493" s="170"/>
      <c r="Z493" s="193"/>
      <c r="AA493" s="194"/>
      <c r="AB493" s="194"/>
      <c r="AC493" s="194"/>
      <c r="AD493" s="194"/>
      <c r="AE493" s="194"/>
      <c r="AF493" s="194"/>
      <c r="AG493" s="194"/>
      <c r="AH493" s="194"/>
      <c r="AI493" s="194"/>
      <c r="AJ493" s="194"/>
      <c r="AK493" s="195"/>
      <c r="AL493" s="164"/>
      <c r="AM493" s="164"/>
      <c r="AN493" s="164"/>
      <c r="AO493" s="164"/>
      <c r="AP493" s="164"/>
      <c r="AQ493" s="164"/>
    </row>
    <row r="494" spans="2:43" x14ac:dyDescent="0.3">
      <c r="B494" s="161"/>
      <c r="C494" s="162"/>
      <c r="D494" s="162"/>
      <c r="E494" s="163"/>
      <c r="F494" s="192"/>
      <c r="G494" s="192"/>
      <c r="H494" s="192"/>
      <c r="I494" s="192"/>
      <c r="J494" s="186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8"/>
      <c r="V494" s="168"/>
      <c r="W494" s="169"/>
      <c r="X494" s="169"/>
      <c r="Y494" s="170"/>
      <c r="Z494" s="193"/>
      <c r="AA494" s="194"/>
      <c r="AB494" s="194"/>
      <c r="AC494" s="194"/>
      <c r="AD494" s="194"/>
      <c r="AE494" s="194"/>
      <c r="AF494" s="194"/>
      <c r="AG494" s="194"/>
      <c r="AH494" s="194"/>
      <c r="AI494" s="194"/>
      <c r="AJ494" s="194"/>
      <c r="AK494" s="195"/>
      <c r="AL494" s="164"/>
      <c r="AM494" s="164"/>
      <c r="AN494" s="164"/>
      <c r="AO494" s="164"/>
      <c r="AP494" s="164"/>
      <c r="AQ494" s="164"/>
    </row>
    <row r="495" spans="2:43" x14ac:dyDescent="0.3">
      <c r="B495" s="161"/>
      <c r="C495" s="162"/>
      <c r="D495" s="162"/>
      <c r="E495" s="163"/>
      <c r="F495" s="192"/>
      <c r="G495" s="192"/>
      <c r="H495" s="192"/>
      <c r="I495" s="192"/>
      <c r="J495" s="186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8"/>
      <c r="V495" s="168"/>
      <c r="W495" s="169"/>
      <c r="X495" s="169"/>
      <c r="Y495" s="170"/>
      <c r="Z495" s="193"/>
      <c r="AA495" s="194"/>
      <c r="AB495" s="194"/>
      <c r="AC495" s="194"/>
      <c r="AD495" s="194"/>
      <c r="AE495" s="194"/>
      <c r="AF495" s="194"/>
      <c r="AG495" s="194"/>
      <c r="AH495" s="194"/>
      <c r="AI495" s="194"/>
      <c r="AJ495" s="194"/>
      <c r="AK495" s="195"/>
      <c r="AL495" s="164"/>
      <c r="AM495" s="164"/>
      <c r="AN495" s="164"/>
      <c r="AO495" s="164"/>
      <c r="AP495" s="164"/>
      <c r="AQ495" s="164"/>
    </row>
    <row r="496" spans="2:43" x14ac:dyDescent="0.3">
      <c r="B496" s="161"/>
      <c r="C496" s="162"/>
      <c r="D496" s="162"/>
      <c r="E496" s="163"/>
      <c r="F496" s="192"/>
      <c r="G496" s="192"/>
      <c r="H496" s="192"/>
      <c r="I496" s="192"/>
      <c r="J496" s="186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8"/>
      <c r="V496" s="168"/>
      <c r="W496" s="169"/>
      <c r="X496" s="169"/>
      <c r="Y496" s="170"/>
      <c r="Z496" s="193"/>
      <c r="AA496" s="194"/>
      <c r="AB496" s="194"/>
      <c r="AC496" s="194"/>
      <c r="AD496" s="194"/>
      <c r="AE496" s="194"/>
      <c r="AF496" s="194"/>
      <c r="AG496" s="194"/>
      <c r="AH496" s="194"/>
      <c r="AI496" s="194"/>
      <c r="AJ496" s="194"/>
      <c r="AK496" s="195"/>
      <c r="AL496" s="164"/>
      <c r="AM496" s="164"/>
      <c r="AN496" s="164"/>
      <c r="AO496" s="164"/>
      <c r="AP496" s="164"/>
      <c r="AQ496" s="164"/>
    </row>
    <row r="497" spans="2:43" x14ac:dyDescent="0.3">
      <c r="B497" s="161"/>
      <c r="C497" s="162"/>
      <c r="D497" s="162"/>
      <c r="E497" s="163"/>
      <c r="F497" s="192"/>
      <c r="G497" s="192"/>
      <c r="H497" s="192"/>
      <c r="I497" s="192"/>
      <c r="J497" s="186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8"/>
      <c r="V497" s="168"/>
      <c r="W497" s="169"/>
      <c r="X497" s="169"/>
      <c r="Y497" s="170"/>
      <c r="Z497" s="193"/>
      <c r="AA497" s="194"/>
      <c r="AB497" s="194"/>
      <c r="AC497" s="194"/>
      <c r="AD497" s="194"/>
      <c r="AE497" s="194"/>
      <c r="AF497" s="194"/>
      <c r="AG497" s="194"/>
      <c r="AH497" s="194"/>
      <c r="AI497" s="194"/>
      <c r="AJ497" s="194"/>
      <c r="AK497" s="195"/>
      <c r="AL497" s="164"/>
      <c r="AM497" s="164"/>
      <c r="AN497" s="164"/>
      <c r="AO497" s="164"/>
      <c r="AP497" s="164"/>
      <c r="AQ497" s="164"/>
    </row>
    <row r="498" spans="2:43" x14ac:dyDescent="0.3">
      <c r="B498" s="161"/>
      <c r="C498" s="162"/>
      <c r="D498" s="162"/>
      <c r="E498" s="163"/>
      <c r="F498" s="192"/>
      <c r="G498" s="192"/>
      <c r="H498" s="192"/>
      <c r="I498" s="192"/>
      <c r="J498" s="189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1"/>
      <c r="V498" s="171"/>
      <c r="W498" s="172"/>
      <c r="X498" s="172"/>
      <c r="Y498" s="173"/>
      <c r="Z498" s="199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1"/>
      <c r="AL498" s="164"/>
      <c r="AM498" s="164"/>
      <c r="AN498" s="164"/>
      <c r="AO498" s="164"/>
      <c r="AP498" s="164"/>
      <c r="AQ498" s="164"/>
    </row>
    <row r="499" spans="2:43" x14ac:dyDescent="0.3">
      <c r="B499" s="161"/>
      <c r="C499" s="162"/>
      <c r="D499" s="162"/>
      <c r="E499" s="163"/>
      <c r="F499" s="192"/>
      <c r="G499" s="192"/>
      <c r="H499" s="192"/>
      <c r="I499" s="192"/>
      <c r="J499" s="183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5"/>
      <c r="V499" s="165"/>
      <c r="W499" s="166"/>
      <c r="X499" s="166"/>
      <c r="Y499" s="167"/>
      <c r="Z499" s="196"/>
      <c r="AA499" s="197"/>
      <c r="AB499" s="197"/>
      <c r="AC499" s="197"/>
      <c r="AD499" s="197"/>
      <c r="AE499" s="197"/>
      <c r="AF499" s="197"/>
      <c r="AG499" s="197"/>
      <c r="AH499" s="197"/>
      <c r="AI499" s="197"/>
      <c r="AJ499" s="197"/>
      <c r="AK499" s="198"/>
      <c r="AL499" s="164"/>
      <c r="AM499" s="164"/>
      <c r="AN499" s="164"/>
      <c r="AO499" s="164"/>
      <c r="AP499" s="164"/>
      <c r="AQ499" s="164"/>
    </row>
    <row r="500" spans="2:43" x14ac:dyDescent="0.3">
      <c r="B500" s="161"/>
      <c r="C500" s="162"/>
      <c r="D500" s="162"/>
      <c r="E500" s="163"/>
      <c r="F500" s="192"/>
      <c r="G500" s="192"/>
      <c r="H500" s="192"/>
      <c r="I500" s="192"/>
      <c r="J500" s="186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8"/>
      <c r="V500" s="168"/>
      <c r="W500" s="169"/>
      <c r="X500" s="169"/>
      <c r="Y500" s="170"/>
      <c r="Z500" s="193"/>
      <c r="AA500" s="194"/>
      <c r="AB500" s="194"/>
      <c r="AC500" s="194"/>
      <c r="AD500" s="194"/>
      <c r="AE500" s="194"/>
      <c r="AF500" s="194"/>
      <c r="AG500" s="194"/>
      <c r="AH500" s="194"/>
      <c r="AI500" s="194"/>
      <c r="AJ500" s="194"/>
      <c r="AK500" s="195"/>
      <c r="AL500" s="164"/>
      <c r="AM500" s="164"/>
      <c r="AN500" s="164"/>
      <c r="AO500" s="164"/>
      <c r="AP500" s="164"/>
      <c r="AQ500" s="164"/>
    </row>
    <row r="501" spans="2:43" x14ac:dyDescent="0.3">
      <c r="B501" s="161"/>
      <c r="C501" s="162"/>
      <c r="D501" s="162"/>
      <c r="E501" s="163"/>
      <c r="F501" s="192"/>
      <c r="G501" s="192"/>
      <c r="H501" s="192"/>
      <c r="I501" s="192"/>
      <c r="J501" s="186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8"/>
      <c r="V501" s="168"/>
      <c r="W501" s="169"/>
      <c r="X501" s="169"/>
      <c r="Y501" s="170"/>
      <c r="Z501" s="193"/>
      <c r="AA501" s="194"/>
      <c r="AB501" s="194"/>
      <c r="AC501" s="194"/>
      <c r="AD501" s="194"/>
      <c r="AE501" s="194"/>
      <c r="AF501" s="194"/>
      <c r="AG501" s="194"/>
      <c r="AH501" s="194"/>
      <c r="AI501" s="194"/>
      <c r="AJ501" s="194"/>
      <c r="AK501" s="195"/>
      <c r="AL501" s="164"/>
      <c r="AM501" s="164"/>
      <c r="AN501" s="164"/>
      <c r="AO501" s="164"/>
      <c r="AP501" s="164"/>
      <c r="AQ501" s="164"/>
    </row>
    <row r="502" spans="2:43" x14ac:dyDescent="0.3">
      <c r="B502" s="161"/>
      <c r="C502" s="162"/>
      <c r="D502" s="162"/>
      <c r="E502" s="163"/>
      <c r="F502" s="192"/>
      <c r="G502" s="192"/>
      <c r="H502" s="192"/>
      <c r="I502" s="192"/>
      <c r="J502" s="186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8"/>
      <c r="V502" s="168"/>
      <c r="W502" s="169"/>
      <c r="X502" s="169"/>
      <c r="Y502" s="170"/>
      <c r="Z502" s="193"/>
      <c r="AA502" s="194"/>
      <c r="AB502" s="194"/>
      <c r="AC502" s="194"/>
      <c r="AD502" s="194"/>
      <c r="AE502" s="194"/>
      <c r="AF502" s="194"/>
      <c r="AG502" s="194"/>
      <c r="AH502" s="194"/>
      <c r="AI502" s="194"/>
      <c r="AJ502" s="194"/>
      <c r="AK502" s="195"/>
      <c r="AL502" s="164"/>
      <c r="AM502" s="164"/>
      <c r="AN502" s="164"/>
      <c r="AO502" s="164"/>
      <c r="AP502" s="164"/>
      <c r="AQ502" s="164"/>
    </row>
    <row r="503" spans="2:43" x14ac:dyDescent="0.3">
      <c r="B503" s="161"/>
      <c r="C503" s="162"/>
      <c r="D503" s="162"/>
      <c r="E503" s="163"/>
      <c r="F503" s="192"/>
      <c r="G503" s="192"/>
      <c r="H503" s="192"/>
      <c r="I503" s="192"/>
      <c r="J503" s="186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8"/>
      <c r="V503" s="168"/>
      <c r="W503" s="169"/>
      <c r="X503" s="169"/>
      <c r="Y503" s="170"/>
      <c r="Z503" s="193"/>
      <c r="AA503" s="194"/>
      <c r="AB503" s="194"/>
      <c r="AC503" s="194"/>
      <c r="AD503" s="194"/>
      <c r="AE503" s="194"/>
      <c r="AF503" s="194"/>
      <c r="AG503" s="194"/>
      <c r="AH503" s="194"/>
      <c r="AI503" s="194"/>
      <c r="AJ503" s="194"/>
      <c r="AK503" s="195"/>
      <c r="AL503" s="164"/>
      <c r="AM503" s="164"/>
      <c r="AN503" s="164"/>
      <c r="AO503" s="164"/>
      <c r="AP503" s="164"/>
      <c r="AQ503" s="164"/>
    </row>
    <row r="504" spans="2:43" x14ac:dyDescent="0.3">
      <c r="B504" s="161"/>
      <c r="C504" s="162"/>
      <c r="D504" s="162"/>
      <c r="E504" s="163"/>
      <c r="F504" s="192"/>
      <c r="G504" s="192"/>
      <c r="H504" s="192"/>
      <c r="I504" s="192"/>
      <c r="J504" s="186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8"/>
      <c r="V504" s="168"/>
      <c r="W504" s="169"/>
      <c r="X504" s="169"/>
      <c r="Y504" s="170"/>
      <c r="Z504" s="193"/>
      <c r="AA504" s="194"/>
      <c r="AB504" s="194"/>
      <c r="AC504" s="194"/>
      <c r="AD504" s="194"/>
      <c r="AE504" s="194"/>
      <c r="AF504" s="194"/>
      <c r="AG504" s="194"/>
      <c r="AH504" s="194"/>
      <c r="AI504" s="194"/>
      <c r="AJ504" s="194"/>
      <c r="AK504" s="195"/>
      <c r="AL504" s="164"/>
      <c r="AM504" s="164"/>
      <c r="AN504" s="164"/>
      <c r="AO504" s="164"/>
      <c r="AP504" s="164"/>
      <c r="AQ504" s="164"/>
    </row>
    <row r="505" spans="2:43" x14ac:dyDescent="0.3">
      <c r="B505" s="161"/>
      <c r="C505" s="162"/>
      <c r="D505" s="162"/>
      <c r="E505" s="163"/>
      <c r="F505" s="192"/>
      <c r="G505" s="192"/>
      <c r="H505" s="192"/>
      <c r="I505" s="192"/>
      <c r="J505" s="186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8"/>
      <c r="V505" s="168"/>
      <c r="W505" s="169"/>
      <c r="X505" s="169"/>
      <c r="Y505" s="170"/>
      <c r="Z505" s="193"/>
      <c r="AA505" s="194"/>
      <c r="AB505" s="194"/>
      <c r="AC505" s="194"/>
      <c r="AD505" s="194"/>
      <c r="AE505" s="194"/>
      <c r="AF505" s="194"/>
      <c r="AG505" s="194"/>
      <c r="AH505" s="194"/>
      <c r="AI505" s="194"/>
      <c r="AJ505" s="194"/>
      <c r="AK505" s="195"/>
      <c r="AL505" s="164"/>
      <c r="AM505" s="164"/>
      <c r="AN505" s="164"/>
      <c r="AO505" s="164"/>
      <c r="AP505" s="164"/>
      <c r="AQ505" s="164"/>
    </row>
    <row r="506" spans="2:43" x14ac:dyDescent="0.3">
      <c r="B506" s="161"/>
      <c r="C506" s="162"/>
      <c r="D506" s="162"/>
      <c r="E506" s="163"/>
      <c r="F506" s="192"/>
      <c r="G506" s="192"/>
      <c r="H506" s="192"/>
      <c r="I506" s="192"/>
      <c r="J506" s="189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1"/>
      <c r="V506" s="171"/>
      <c r="W506" s="172"/>
      <c r="X506" s="172"/>
      <c r="Y506" s="173"/>
      <c r="Z506" s="199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1"/>
      <c r="AL506" s="164"/>
      <c r="AM506" s="164"/>
      <c r="AN506" s="164"/>
      <c r="AO506" s="164"/>
      <c r="AP506" s="164"/>
      <c r="AQ506" s="164"/>
    </row>
    <row r="507" spans="2:43" x14ac:dyDescent="0.3">
      <c r="B507" s="161"/>
      <c r="C507" s="162"/>
      <c r="D507" s="162"/>
      <c r="E507" s="163"/>
      <c r="F507" s="192"/>
      <c r="G507" s="192"/>
      <c r="H507" s="192"/>
      <c r="I507" s="192"/>
      <c r="J507" s="174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6"/>
      <c r="V507" s="165"/>
      <c r="W507" s="166"/>
      <c r="X507" s="166"/>
      <c r="Y507" s="167"/>
      <c r="Z507" s="196"/>
      <c r="AA507" s="197"/>
      <c r="AB507" s="197"/>
      <c r="AC507" s="197"/>
      <c r="AD507" s="197"/>
      <c r="AE507" s="197"/>
      <c r="AF507" s="197"/>
      <c r="AG507" s="197"/>
      <c r="AH507" s="197"/>
      <c r="AI507" s="197"/>
      <c r="AJ507" s="197"/>
      <c r="AK507" s="198"/>
      <c r="AL507" s="164"/>
      <c r="AM507" s="164"/>
      <c r="AN507" s="164"/>
      <c r="AO507" s="164"/>
      <c r="AP507" s="164"/>
      <c r="AQ507" s="164"/>
    </row>
    <row r="508" spans="2:43" x14ac:dyDescent="0.3">
      <c r="B508" s="161"/>
      <c r="C508" s="162"/>
      <c r="D508" s="162"/>
      <c r="E508" s="163"/>
      <c r="F508" s="192"/>
      <c r="G508" s="192"/>
      <c r="H508" s="192"/>
      <c r="I508" s="192"/>
      <c r="J508" s="177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9"/>
      <c r="V508" s="168"/>
      <c r="W508" s="169"/>
      <c r="X508" s="169"/>
      <c r="Y508" s="170"/>
      <c r="Z508" s="193"/>
      <c r="AA508" s="194"/>
      <c r="AB508" s="194"/>
      <c r="AC508" s="194"/>
      <c r="AD508" s="194"/>
      <c r="AE508" s="194"/>
      <c r="AF508" s="194"/>
      <c r="AG508" s="194"/>
      <c r="AH508" s="194"/>
      <c r="AI508" s="194"/>
      <c r="AJ508" s="194"/>
      <c r="AK508" s="195"/>
      <c r="AL508" s="164"/>
      <c r="AM508" s="164"/>
      <c r="AN508" s="164"/>
      <c r="AO508" s="164"/>
      <c r="AP508" s="164"/>
      <c r="AQ508" s="164"/>
    </row>
    <row r="509" spans="2:43" x14ac:dyDescent="0.3">
      <c r="B509" s="161"/>
      <c r="C509" s="162"/>
      <c r="D509" s="162"/>
      <c r="E509" s="163"/>
      <c r="F509" s="192"/>
      <c r="G509" s="192"/>
      <c r="H509" s="192"/>
      <c r="I509" s="192"/>
      <c r="J509" s="177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9"/>
      <c r="V509" s="168"/>
      <c r="W509" s="169"/>
      <c r="X509" s="169"/>
      <c r="Y509" s="170"/>
      <c r="Z509" s="193"/>
      <c r="AA509" s="194"/>
      <c r="AB509" s="194"/>
      <c r="AC509" s="194"/>
      <c r="AD509" s="194"/>
      <c r="AE509" s="194"/>
      <c r="AF509" s="194"/>
      <c r="AG509" s="194"/>
      <c r="AH509" s="194"/>
      <c r="AI509" s="194"/>
      <c r="AJ509" s="194"/>
      <c r="AK509" s="195"/>
      <c r="AL509" s="164"/>
      <c r="AM509" s="164"/>
      <c r="AN509" s="164"/>
      <c r="AO509" s="164"/>
      <c r="AP509" s="164"/>
      <c r="AQ509" s="164"/>
    </row>
    <row r="510" spans="2:43" x14ac:dyDescent="0.3">
      <c r="B510" s="161"/>
      <c r="C510" s="162"/>
      <c r="D510" s="162"/>
      <c r="E510" s="163"/>
      <c r="F510" s="192"/>
      <c r="G510" s="192"/>
      <c r="H510" s="192"/>
      <c r="I510" s="192"/>
      <c r="J510" s="177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9"/>
      <c r="V510" s="168"/>
      <c r="W510" s="169"/>
      <c r="X510" s="169"/>
      <c r="Y510" s="170"/>
      <c r="Z510" s="193"/>
      <c r="AA510" s="194"/>
      <c r="AB510" s="194"/>
      <c r="AC510" s="194"/>
      <c r="AD510" s="194"/>
      <c r="AE510" s="194"/>
      <c r="AF510" s="194"/>
      <c r="AG510" s="194"/>
      <c r="AH510" s="194"/>
      <c r="AI510" s="194"/>
      <c r="AJ510" s="194"/>
      <c r="AK510" s="195"/>
      <c r="AL510" s="164"/>
      <c r="AM510" s="164"/>
      <c r="AN510" s="164"/>
      <c r="AO510" s="164"/>
      <c r="AP510" s="164"/>
      <c r="AQ510" s="164"/>
    </row>
    <row r="511" spans="2:43" x14ac:dyDescent="0.3">
      <c r="B511" s="161"/>
      <c r="C511" s="162"/>
      <c r="D511" s="162"/>
      <c r="E511" s="163"/>
      <c r="F511" s="192"/>
      <c r="G511" s="192"/>
      <c r="H511" s="192"/>
      <c r="I511" s="192"/>
      <c r="J511" s="177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9"/>
      <c r="V511" s="168"/>
      <c r="W511" s="169"/>
      <c r="X511" s="169"/>
      <c r="Y511" s="170"/>
      <c r="Z511" s="193"/>
      <c r="AA511" s="194"/>
      <c r="AB511" s="194"/>
      <c r="AC511" s="194"/>
      <c r="AD511" s="194"/>
      <c r="AE511" s="194"/>
      <c r="AF511" s="194"/>
      <c r="AG511" s="194"/>
      <c r="AH511" s="194"/>
      <c r="AI511" s="194"/>
      <c r="AJ511" s="194"/>
      <c r="AK511" s="195"/>
      <c r="AL511" s="164"/>
      <c r="AM511" s="164"/>
      <c r="AN511" s="164"/>
      <c r="AO511" s="164"/>
      <c r="AP511" s="164"/>
      <c r="AQ511" s="164"/>
    </row>
    <row r="512" spans="2:43" x14ac:dyDescent="0.3">
      <c r="B512" s="161"/>
      <c r="C512" s="162"/>
      <c r="D512" s="162"/>
      <c r="E512" s="163"/>
      <c r="F512" s="192"/>
      <c r="G512" s="192"/>
      <c r="H512" s="192"/>
      <c r="I512" s="192"/>
      <c r="J512" s="177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9"/>
      <c r="V512" s="168"/>
      <c r="W512" s="169"/>
      <c r="X512" s="169"/>
      <c r="Y512" s="170"/>
      <c r="Z512" s="193"/>
      <c r="AA512" s="194"/>
      <c r="AB512" s="194"/>
      <c r="AC512" s="194"/>
      <c r="AD512" s="194"/>
      <c r="AE512" s="194"/>
      <c r="AF512" s="194"/>
      <c r="AG512" s="194"/>
      <c r="AH512" s="194"/>
      <c r="AI512" s="194"/>
      <c r="AJ512" s="194"/>
      <c r="AK512" s="195"/>
      <c r="AL512" s="164"/>
      <c r="AM512" s="164"/>
      <c r="AN512" s="164"/>
      <c r="AO512" s="164"/>
      <c r="AP512" s="164"/>
      <c r="AQ512" s="164"/>
    </row>
    <row r="513" spans="2:43" x14ac:dyDescent="0.3">
      <c r="B513" s="161"/>
      <c r="C513" s="162"/>
      <c r="D513" s="162"/>
      <c r="E513" s="163"/>
      <c r="F513" s="192"/>
      <c r="G513" s="192"/>
      <c r="H513" s="192"/>
      <c r="I513" s="192"/>
      <c r="J513" s="177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9"/>
      <c r="V513" s="168"/>
      <c r="W513" s="169"/>
      <c r="X513" s="169"/>
      <c r="Y513" s="170"/>
      <c r="Z513" s="193"/>
      <c r="AA513" s="194"/>
      <c r="AB513" s="194"/>
      <c r="AC513" s="194"/>
      <c r="AD513" s="194"/>
      <c r="AE513" s="194"/>
      <c r="AF513" s="194"/>
      <c r="AG513" s="194"/>
      <c r="AH513" s="194"/>
      <c r="AI513" s="194"/>
      <c r="AJ513" s="194"/>
      <c r="AK513" s="195"/>
      <c r="AL513" s="164"/>
      <c r="AM513" s="164"/>
      <c r="AN513" s="164"/>
      <c r="AO513" s="164"/>
      <c r="AP513" s="164"/>
      <c r="AQ513" s="164"/>
    </row>
    <row r="514" spans="2:43" x14ac:dyDescent="0.3">
      <c r="B514" s="161"/>
      <c r="C514" s="162"/>
      <c r="D514" s="162"/>
      <c r="E514" s="163"/>
      <c r="F514" s="192"/>
      <c r="G514" s="192"/>
      <c r="H514" s="192"/>
      <c r="I514" s="192"/>
      <c r="J514" s="180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2"/>
      <c r="V514" s="171"/>
      <c r="W514" s="172"/>
      <c r="X514" s="172"/>
      <c r="Y514" s="173"/>
      <c r="Z514" s="199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1"/>
      <c r="AL514" s="164"/>
      <c r="AM514" s="164"/>
      <c r="AN514" s="164"/>
      <c r="AO514" s="164"/>
      <c r="AP514" s="164"/>
      <c r="AQ514" s="164"/>
    </row>
    <row r="515" spans="2:43" x14ac:dyDescent="0.3">
      <c r="B515" s="161"/>
      <c r="C515" s="162"/>
      <c r="D515" s="162"/>
      <c r="E515" s="163"/>
      <c r="F515" s="192"/>
      <c r="G515" s="192"/>
      <c r="H515" s="192"/>
      <c r="I515" s="192"/>
      <c r="J515" s="183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5"/>
      <c r="V515" s="165"/>
      <c r="W515" s="166"/>
      <c r="X515" s="166"/>
      <c r="Y515" s="167"/>
      <c r="Z515" s="196"/>
      <c r="AA515" s="197"/>
      <c r="AB515" s="197"/>
      <c r="AC515" s="197"/>
      <c r="AD515" s="197"/>
      <c r="AE515" s="197"/>
      <c r="AF515" s="197"/>
      <c r="AG515" s="197"/>
      <c r="AH515" s="197"/>
      <c r="AI515" s="197"/>
      <c r="AJ515" s="197"/>
      <c r="AK515" s="198"/>
      <c r="AL515" s="164"/>
      <c r="AM515" s="164"/>
      <c r="AN515" s="164"/>
      <c r="AO515" s="164"/>
      <c r="AP515" s="164"/>
      <c r="AQ515" s="164"/>
    </row>
    <row r="516" spans="2:43" x14ac:dyDescent="0.3">
      <c r="B516" s="161"/>
      <c r="C516" s="162"/>
      <c r="D516" s="162"/>
      <c r="E516" s="163"/>
      <c r="F516" s="192"/>
      <c r="G516" s="192"/>
      <c r="H516" s="192"/>
      <c r="I516" s="192"/>
      <c r="J516" s="186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8"/>
      <c r="V516" s="168"/>
      <c r="W516" s="169"/>
      <c r="X516" s="169"/>
      <c r="Y516" s="170"/>
      <c r="Z516" s="193"/>
      <c r="AA516" s="194"/>
      <c r="AB516" s="194"/>
      <c r="AC516" s="194"/>
      <c r="AD516" s="194"/>
      <c r="AE516" s="194"/>
      <c r="AF516" s="194"/>
      <c r="AG516" s="194"/>
      <c r="AH516" s="194"/>
      <c r="AI516" s="194"/>
      <c r="AJ516" s="194"/>
      <c r="AK516" s="195"/>
      <c r="AL516" s="164"/>
      <c r="AM516" s="164"/>
      <c r="AN516" s="164"/>
      <c r="AO516" s="164"/>
      <c r="AP516" s="164"/>
      <c r="AQ516" s="164"/>
    </row>
    <row r="517" spans="2:43" x14ac:dyDescent="0.3">
      <c r="B517" s="161"/>
      <c r="C517" s="162"/>
      <c r="D517" s="162"/>
      <c r="E517" s="163"/>
      <c r="F517" s="192"/>
      <c r="G517" s="192"/>
      <c r="H517" s="192"/>
      <c r="I517" s="192"/>
      <c r="J517" s="186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8"/>
      <c r="V517" s="168"/>
      <c r="W517" s="169"/>
      <c r="X517" s="169"/>
      <c r="Y517" s="170"/>
      <c r="Z517" s="193"/>
      <c r="AA517" s="194"/>
      <c r="AB517" s="194"/>
      <c r="AC517" s="194"/>
      <c r="AD517" s="194"/>
      <c r="AE517" s="194"/>
      <c r="AF517" s="194"/>
      <c r="AG517" s="194"/>
      <c r="AH517" s="194"/>
      <c r="AI517" s="194"/>
      <c r="AJ517" s="194"/>
      <c r="AK517" s="195"/>
      <c r="AL517" s="164"/>
      <c r="AM517" s="164"/>
      <c r="AN517" s="164"/>
      <c r="AO517" s="164"/>
      <c r="AP517" s="164"/>
      <c r="AQ517" s="164"/>
    </row>
    <row r="518" spans="2:43" x14ac:dyDescent="0.3">
      <c r="B518" s="161"/>
      <c r="C518" s="162"/>
      <c r="D518" s="162"/>
      <c r="E518" s="163"/>
      <c r="F518" s="192"/>
      <c r="G518" s="192"/>
      <c r="H518" s="192"/>
      <c r="I518" s="192"/>
      <c r="J518" s="186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8"/>
      <c r="V518" s="168"/>
      <c r="W518" s="169"/>
      <c r="X518" s="169"/>
      <c r="Y518" s="170"/>
      <c r="Z518" s="193"/>
      <c r="AA518" s="194"/>
      <c r="AB518" s="194"/>
      <c r="AC518" s="194"/>
      <c r="AD518" s="194"/>
      <c r="AE518" s="194"/>
      <c r="AF518" s="194"/>
      <c r="AG518" s="194"/>
      <c r="AH518" s="194"/>
      <c r="AI518" s="194"/>
      <c r="AJ518" s="194"/>
      <c r="AK518" s="195"/>
      <c r="AL518" s="164"/>
      <c r="AM518" s="164"/>
      <c r="AN518" s="164"/>
      <c r="AO518" s="164"/>
      <c r="AP518" s="164"/>
      <c r="AQ518" s="164"/>
    </row>
    <row r="519" spans="2:43" x14ac:dyDescent="0.3">
      <c r="B519" s="161"/>
      <c r="C519" s="162"/>
      <c r="D519" s="162"/>
      <c r="E519" s="163"/>
      <c r="F519" s="192"/>
      <c r="G519" s="192"/>
      <c r="H519" s="192"/>
      <c r="I519" s="192"/>
      <c r="J519" s="186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8"/>
      <c r="V519" s="168"/>
      <c r="W519" s="169"/>
      <c r="X519" s="169"/>
      <c r="Y519" s="170"/>
      <c r="Z519" s="193"/>
      <c r="AA519" s="194"/>
      <c r="AB519" s="194"/>
      <c r="AC519" s="194"/>
      <c r="AD519" s="194"/>
      <c r="AE519" s="194"/>
      <c r="AF519" s="194"/>
      <c r="AG519" s="194"/>
      <c r="AH519" s="194"/>
      <c r="AI519" s="194"/>
      <c r="AJ519" s="194"/>
      <c r="AK519" s="195"/>
      <c r="AL519" s="164"/>
      <c r="AM519" s="164"/>
      <c r="AN519" s="164"/>
      <c r="AO519" s="164"/>
      <c r="AP519" s="164"/>
      <c r="AQ519" s="164"/>
    </row>
    <row r="520" spans="2:43" x14ac:dyDescent="0.3">
      <c r="B520" s="161"/>
      <c r="C520" s="162"/>
      <c r="D520" s="162"/>
      <c r="E520" s="163"/>
      <c r="F520" s="192"/>
      <c r="G520" s="192"/>
      <c r="H520" s="192"/>
      <c r="I520" s="192"/>
      <c r="J520" s="186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8"/>
      <c r="V520" s="168"/>
      <c r="W520" s="169"/>
      <c r="X520" s="169"/>
      <c r="Y520" s="170"/>
      <c r="Z520" s="193"/>
      <c r="AA520" s="194"/>
      <c r="AB520" s="194"/>
      <c r="AC520" s="194"/>
      <c r="AD520" s="194"/>
      <c r="AE520" s="194"/>
      <c r="AF520" s="194"/>
      <c r="AG520" s="194"/>
      <c r="AH520" s="194"/>
      <c r="AI520" s="194"/>
      <c r="AJ520" s="194"/>
      <c r="AK520" s="195"/>
      <c r="AL520" s="164"/>
      <c r="AM520" s="164"/>
      <c r="AN520" s="164"/>
      <c r="AO520" s="164"/>
      <c r="AP520" s="164"/>
      <c r="AQ520" s="164"/>
    </row>
    <row r="521" spans="2:43" x14ac:dyDescent="0.3">
      <c r="B521" s="161"/>
      <c r="C521" s="162"/>
      <c r="D521" s="162"/>
      <c r="E521" s="163"/>
      <c r="F521" s="192"/>
      <c r="G521" s="192"/>
      <c r="H521" s="192"/>
      <c r="I521" s="192"/>
      <c r="J521" s="186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8"/>
      <c r="V521" s="168"/>
      <c r="W521" s="169"/>
      <c r="X521" s="169"/>
      <c r="Y521" s="170"/>
      <c r="Z521" s="193"/>
      <c r="AA521" s="194"/>
      <c r="AB521" s="194"/>
      <c r="AC521" s="194"/>
      <c r="AD521" s="194"/>
      <c r="AE521" s="194"/>
      <c r="AF521" s="194"/>
      <c r="AG521" s="194"/>
      <c r="AH521" s="194"/>
      <c r="AI521" s="194"/>
      <c r="AJ521" s="194"/>
      <c r="AK521" s="195"/>
      <c r="AL521" s="164"/>
      <c r="AM521" s="164"/>
      <c r="AN521" s="164"/>
      <c r="AO521" s="164"/>
      <c r="AP521" s="164"/>
      <c r="AQ521" s="164"/>
    </row>
    <row r="522" spans="2:43" x14ac:dyDescent="0.3">
      <c r="B522" s="161"/>
      <c r="C522" s="162"/>
      <c r="D522" s="162"/>
      <c r="E522" s="163"/>
      <c r="F522" s="192"/>
      <c r="G522" s="192"/>
      <c r="H522" s="192"/>
      <c r="I522" s="192"/>
      <c r="J522" s="189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1"/>
      <c r="V522" s="171"/>
      <c r="W522" s="172"/>
      <c r="X522" s="172"/>
      <c r="Y522" s="173"/>
      <c r="Z522" s="199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1"/>
      <c r="AL522" s="164"/>
      <c r="AM522" s="164"/>
      <c r="AN522" s="164"/>
      <c r="AO522" s="164"/>
      <c r="AP522" s="164"/>
      <c r="AQ522" s="164"/>
    </row>
    <row r="523" spans="2:43" x14ac:dyDescent="0.3">
      <c r="B523" s="161"/>
      <c r="C523" s="162"/>
      <c r="D523" s="162"/>
      <c r="E523" s="163"/>
      <c r="F523" s="192"/>
      <c r="G523" s="192"/>
      <c r="H523" s="192"/>
      <c r="I523" s="192"/>
      <c r="J523" s="183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5"/>
      <c r="V523" s="165"/>
      <c r="W523" s="166"/>
      <c r="X523" s="166"/>
      <c r="Y523" s="167"/>
      <c r="Z523" s="196"/>
      <c r="AA523" s="197"/>
      <c r="AB523" s="197"/>
      <c r="AC523" s="197"/>
      <c r="AD523" s="197"/>
      <c r="AE523" s="197"/>
      <c r="AF523" s="197"/>
      <c r="AG523" s="197"/>
      <c r="AH523" s="197"/>
      <c r="AI523" s="197"/>
      <c r="AJ523" s="197"/>
      <c r="AK523" s="198"/>
      <c r="AL523" s="164"/>
      <c r="AM523" s="164"/>
      <c r="AN523" s="164"/>
      <c r="AO523" s="164"/>
      <c r="AP523" s="164"/>
      <c r="AQ523" s="164"/>
    </row>
    <row r="524" spans="2:43" x14ac:dyDescent="0.3">
      <c r="B524" s="161"/>
      <c r="C524" s="162"/>
      <c r="D524" s="162"/>
      <c r="E524" s="163"/>
      <c r="F524" s="192"/>
      <c r="G524" s="192"/>
      <c r="H524" s="192"/>
      <c r="I524" s="192"/>
      <c r="J524" s="186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8"/>
      <c r="V524" s="168"/>
      <c r="W524" s="169"/>
      <c r="X524" s="169"/>
      <c r="Y524" s="170"/>
      <c r="Z524" s="193"/>
      <c r="AA524" s="194"/>
      <c r="AB524" s="194"/>
      <c r="AC524" s="194"/>
      <c r="AD524" s="194"/>
      <c r="AE524" s="194"/>
      <c r="AF524" s="194"/>
      <c r="AG524" s="194"/>
      <c r="AH524" s="194"/>
      <c r="AI524" s="194"/>
      <c r="AJ524" s="194"/>
      <c r="AK524" s="195"/>
      <c r="AL524" s="164"/>
      <c r="AM524" s="164"/>
      <c r="AN524" s="164"/>
      <c r="AO524" s="164"/>
      <c r="AP524" s="164"/>
      <c r="AQ524" s="164"/>
    </row>
    <row r="525" spans="2:43" x14ac:dyDescent="0.3">
      <c r="B525" s="161"/>
      <c r="C525" s="162"/>
      <c r="D525" s="162"/>
      <c r="E525" s="163"/>
      <c r="F525" s="192"/>
      <c r="G525" s="192"/>
      <c r="H525" s="192"/>
      <c r="I525" s="192"/>
      <c r="J525" s="186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8"/>
      <c r="V525" s="168"/>
      <c r="W525" s="169"/>
      <c r="X525" s="169"/>
      <c r="Y525" s="170"/>
      <c r="Z525" s="193"/>
      <c r="AA525" s="194"/>
      <c r="AB525" s="194"/>
      <c r="AC525" s="194"/>
      <c r="AD525" s="194"/>
      <c r="AE525" s="194"/>
      <c r="AF525" s="194"/>
      <c r="AG525" s="194"/>
      <c r="AH525" s="194"/>
      <c r="AI525" s="194"/>
      <c r="AJ525" s="194"/>
      <c r="AK525" s="195"/>
      <c r="AL525" s="164"/>
      <c r="AM525" s="164"/>
      <c r="AN525" s="164"/>
      <c r="AO525" s="164"/>
      <c r="AP525" s="164"/>
      <c r="AQ525" s="164"/>
    </row>
    <row r="526" spans="2:43" x14ac:dyDescent="0.3">
      <c r="B526" s="161"/>
      <c r="C526" s="162"/>
      <c r="D526" s="162"/>
      <c r="E526" s="163"/>
      <c r="F526" s="192"/>
      <c r="G526" s="192"/>
      <c r="H526" s="192"/>
      <c r="I526" s="192"/>
      <c r="J526" s="186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8"/>
      <c r="V526" s="168"/>
      <c r="W526" s="169"/>
      <c r="X526" s="169"/>
      <c r="Y526" s="170"/>
      <c r="Z526" s="193"/>
      <c r="AA526" s="194"/>
      <c r="AB526" s="194"/>
      <c r="AC526" s="194"/>
      <c r="AD526" s="194"/>
      <c r="AE526" s="194"/>
      <c r="AF526" s="194"/>
      <c r="AG526" s="194"/>
      <c r="AH526" s="194"/>
      <c r="AI526" s="194"/>
      <c r="AJ526" s="194"/>
      <c r="AK526" s="195"/>
      <c r="AL526" s="164"/>
      <c r="AM526" s="164"/>
      <c r="AN526" s="164"/>
      <c r="AO526" s="164"/>
      <c r="AP526" s="164"/>
      <c r="AQ526" s="164"/>
    </row>
    <row r="527" spans="2:43" x14ac:dyDescent="0.3">
      <c r="B527" s="161"/>
      <c r="C527" s="162"/>
      <c r="D527" s="162"/>
      <c r="E527" s="163"/>
      <c r="F527" s="192"/>
      <c r="G527" s="192"/>
      <c r="H527" s="192"/>
      <c r="I527" s="192"/>
      <c r="J527" s="186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8"/>
      <c r="V527" s="168"/>
      <c r="W527" s="169"/>
      <c r="X527" s="169"/>
      <c r="Y527" s="170"/>
      <c r="Z527" s="193"/>
      <c r="AA527" s="194"/>
      <c r="AB527" s="194"/>
      <c r="AC527" s="194"/>
      <c r="AD527" s="194"/>
      <c r="AE527" s="194"/>
      <c r="AF527" s="194"/>
      <c r="AG527" s="194"/>
      <c r="AH527" s="194"/>
      <c r="AI527" s="194"/>
      <c r="AJ527" s="194"/>
      <c r="AK527" s="195"/>
      <c r="AL527" s="164"/>
      <c r="AM527" s="164"/>
      <c r="AN527" s="164"/>
      <c r="AO527" s="164"/>
      <c r="AP527" s="164"/>
      <c r="AQ527" s="164"/>
    </row>
    <row r="528" spans="2:43" x14ac:dyDescent="0.3">
      <c r="B528" s="161"/>
      <c r="C528" s="162"/>
      <c r="D528" s="162"/>
      <c r="E528" s="163"/>
      <c r="F528" s="192"/>
      <c r="G528" s="192"/>
      <c r="H528" s="192"/>
      <c r="I528" s="192"/>
      <c r="J528" s="186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8"/>
      <c r="V528" s="168"/>
      <c r="W528" s="169"/>
      <c r="X528" s="169"/>
      <c r="Y528" s="170"/>
      <c r="Z528" s="193"/>
      <c r="AA528" s="194"/>
      <c r="AB528" s="194"/>
      <c r="AC528" s="194"/>
      <c r="AD528" s="194"/>
      <c r="AE528" s="194"/>
      <c r="AF528" s="194"/>
      <c r="AG528" s="194"/>
      <c r="AH528" s="194"/>
      <c r="AI528" s="194"/>
      <c r="AJ528" s="194"/>
      <c r="AK528" s="195"/>
      <c r="AL528" s="164"/>
      <c r="AM528" s="164"/>
      <c r="AN528" s="164"/>
      <c r="AO528" s="164"/>
      <c r="AP528" s="164"/>
      <c r="AQ528" s="164"/>
    </row>
    <row r="529" spans="2:43" x14ac:dyDescent="0.3">
      <c r="B529" s="161"/>
      <c r="C529" s="162"/>
      <c r="D529" s="162"/>
      <c r="E529" s="163"/>
      <c r="F529" s="192"/>
      <c r="G529" s="192"/>
      <c r="H529" s="192"/>
      <c r="I529" s="192"/>
      <c r="J529" s="186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8"/>
      <c r="V529" s="168"/>
      <c r="W529" s="169"/>
      <c r="X529" s="169"/>
      <c r="Y529" s="170"/>
      <c r="Z529" s="193"/>
      <c r="AA529" s="194"/>
      <c r="AB529" s="194"/>
      <c r="AC529" s="194"/>
      <c r="AD529" s="194"/>
      <c r="AE529" s="194"/>
      <c r="AF529" s="194"/>
      <c r="AG529" s="194"/>
      <c r="AH529" s="194"/>
      <c r="AI529" s="194"/>
      <c r="AJ529" s="194"/>
      <c r="AK529" s="195"/>
      <c r="AL529" s="164"/>
      <c r="AM529" s="164"/>
      <c r="AN529" s="164"/>
      <c r="AO529" s="164"/>
      <c r="AP529" s="164"/>
      <c r="AQ529" s="164"/>
    </row>
    <row r="530" spans="2:43" x14ac:dyDescent="0.3">
      <c r="B530" s="161"/>
      <c r="C530" s="162"/>
      <c r="D530" s="162"/>
      <c r="E530" s="163"/>
      <c r="F530" s="192"/>
      <c r="G530" s="192"/>
      <c r="H530" s="192"/>
      <c r="I530" s="192"/>
      <c r="J530" s="189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1"/>
      <c r="V530" s="171"/>
      <c r="W530" s="172"/>
      <c r="X530" s="172"/>
      <c r="Y530" s="173"/>
      <c r="Z530" s="199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1"/>
      <c r="AL530" s="164"/>
      <c r="AM530" s="164"/>
      <c r="AN530" s="164"/>
      <c r="AO530" s="164"/>
      <c r="AP530" s="164"/>
      <c r="AQ530" s="164"/>
    </row>
    <row r="531" spans="2:43" x14ac:dyDescent="0.3">
      <c r="B531" s="161"/>
      <c r="C531" s="162"/>
      <c r="D531" s="162"/>
      <c r="E531" s="163"/>
      <c r="F531" s="192"/>
      <c r="G531" s="192"/>
      <c r="H531" s="192"/>
      <c r="I531" s="192"/>
      <c r="J531" s="183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5"/>
      <c r="V531" s="165"/>
      <c r="W531" s="166"/>
      <c r="X531" s="166"/>
      <c r="Y531" s="167"/>
      <c r="Z531" s="196"/>
      <c r="AA531" s="197"/>
      <c r="AB531" s="197"/>
      <c r="AC531" s="197"/>
      <c r="AD531" s="197"/>
      <c r="AE531" s="197"/>
      <c r="AF531" s="197"/>
      <c r="AG531" s="197"/>
      <c r="AH531" s="197"/>
      <c r="AI531" s="197"/>
      <c r="AJ531" s="197"/>
      <c r="AK531" s="198"/>
      <c r="AL531" s="164"/>
      <c r="AM531" s="164"/>
      <c r="AN531" s="164"/>
      <c r="AO531" s="164"/>
      <c r="AP531" s="164"/>
      <c r="AQ531" s="164"/>
    </row>
    <row r="532" spans="2:43" x14ac:dyDescent="0.3">
      <c r="B532" s="161"/>
      <c r="C532" s="162"/>
      <c r="D532" s="162"/>
      <c r="E532" s="163"/>
      <c r="F532" s="192"/>
      <c r="G532" s="192"/>
      <c r="H532" s="192"/>
      <c r="I532" s="192"/>
      <c r="J532" s="186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8"/>
      <c r="V532" s="168"/>
      <c r="W532" s="169"/>
      <c r="X532" s="169"/>
      <c r="Y532" s="170"/>
      <c r="Z532" s="193"/>
      <c r="AA532" s="194"/>
      <c r="AB532" s="194"/>
      <c r="AC532" s="194"/>
      <c r="AD532" s="194"/>
      <c r="AE532" s="194"/>
      <c r="AF532" s="194"/>
      <c r="AG532" s="194"/>
      <c r="AH532" s="194"/>
      <c r="AI532" s="194"/>
      <c r="AJ532" s="194"/>
      <c r="AK532" s="195"/>
      <c r="AL532" s="164"/>
      <c r="AM532" s="164"/>
      <c r="AN532" s="164"/>
      <c r="AO532" s="164"/>
      <c r="AP532" s="164"/>
      <c r="AQ532" s="164"/>
    </row>
    <row r="533" spans="2:43" x14ac:dyDescent="0.3">
      <c r="B533" s="161"/>
      <c r="C533" s="162"/>
      <c r="D533" s="162"/>
      <c r="E533" s="163"/>
      <c r="F533" s="192"/>
      <c r="G533" s="192"/>
      <c r="H533" s="192"/>
      <c r="I533" s="192"/>
      <c r="J533" s="186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8"/>
      <c r="V533" s="168"/>
      <c r="W533" s="169"/>
      <c r="X533" s="169"/>
      <c r="Y533" s="170"/>
      <c r="Z533" s="193"/>
      <c r="AA533" s="194"/>
      <c r="AB533" s="194"/>
      <c r="AC533" s="194"/>
      <c r="AD533" s="194"/>
      <c r="AE533" s="194"/>
      <c r="AF533" s="194"/>
      <c r="AG533" s="194"/>
      <c r="AH533" s="194"/>
      <c r="AI533" s="194"/>
      <c r="AJ533" s="194"/>
      <c r="AK533" s="195"/>
      <c r="AL533" s="164"/>
      <c r="AM533" s="164"/>
      <c r="AN533" s="164"/>
      <c r="AO533" s="164"/>
      <c r="AP533" s="164"/>
      <c r="AQ533" s="164"/>
    </row>
    <row r="534" spans="2:43" x14ac:dyDescent="0.3">
      <c r="B534" s="161"/>
      <c r="C534" s="162"/>
      <c r="D534" s="162"/>
      <c r="E534" s="163"/>
      <c r="F534" s="192"/>
      <c r="G534" s="192"/>
      <c r="H534" s="192"/>
      <c r="I534" s="192"/>
      <c r="J534" s="186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8"/>
      <c r="V534" s="168"/>
      <c r="W534" s="169"/>
      <c r="X534" s="169"/>
      <c r="Y534" s="170"/>
      <c r="Z534" s="193"/>
      <c r="AA534" s="194"/>
      <c r="AB534" s="194"/>
      <c r="AC534" s="194"/>
      <c r="AD534" s="194"/>
      <c r="AE534" s="194"/>
      <c r="AF534" s="194"/>
      <c r="AG534" s="194"/>
      <c r="AH534" s="194"/>
      <c r="AI534" s="194"/>
      <c r="AJ534" s="194"/>
      <c r="AK534" s="195"/>
      <c r="AL534" s="164"/>
      <c r="AM534" s="164"/>
      <c r="AN534" s="164"/>
      <c r="AO534" s="164"/>
      <c r="AP534" s="164"/>
      <c r="AQ534" s="164"/>
    </row>
    <row r="535" spans="2:43" x14ac:dyDescent="0.3">
      <c r="B535" s="161"/>
      <c r="C535" s="162"/>
      <c r="D535" s="162"/>
      <c r="E535" s="163"/>
      <c r="F535" s="192"/>
      <c r="G535" s="192"/>
      <c r="H535" s="192"/>
      <c r="I535" s="192"/>
      <c r="J535" s="186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8"/>
      <c r="V535" s="168"/>
      <c r="W535" s="169"/>
      <c r="X535" s="169"/>
      <c r="Y535" s="170"/>
      <c r="Z535" s="193"/>
      <c r="AA535" s="194"/>
      <c r="AB535" s="194"/>
      <c r="AC535" s="194"/>
      <c r="AD535" s="194"/>
      <c r="AE535" s="194"/>
      <c r="AF535" s="194"/>
      <c r="AG535" s="194"/>
      <c r="AH535" s="194"/>
      <c r="AI535" s="194"/>
      <c r="AJ535" s="194"/>
      <c r="AK535" s="195"/>
      <c r="AL535" s="164"/>
      <c r="AM535" s="164"/>
      <c r="AN535" s="164"/>
      <c r="AO535" s="164"/>
      <c r="AP535" s="164"/>
      <c r="AQ535" s="164"/>
    </row>
    <row r="536" spans="2:43" x14ac:dyDescent="0.3">
      <c r="B536" s="161"/>
      <c r="C536" s="162"/>
      <c r="D536" s="162"/>
      <c r="E536" s="163"/>
      <c r="F536" s="192"/>
      <c r="G536" s="192"/>
      <c r="H536" s="192"/>
      <c r="I536" s="192"/>
      <c r="J536" s="186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8"/>
      <c r="V536" s="168"/>
      <c r="W536" s="169"/>
      <c r="X536" s="169"/>
      <c r="Y536" s="170"/>
      <c r="Z536" s="193"/>
      <c r="AA536" s="194"/>
      <c r="AB536" s="194"/>
      <c r="AC536" s="194"/>
      <c r="AD536" s="194"/>
      <c r="AE536" s="194"/>
      <c r="AF536" s="194"/>
      <c r="AG536" s="194"/>
      <c r="AH536" s="194"/>
      <c r="AI536" s="194"/>
      <c r="AJ536" s="194"/>
      <c r="AK536" s="195"/>
      <c r="AL536" s="164"/>
      <c r="AM536" s="164"/>
      <c r="AN536" s="164"/>
      <c r="AO536" s="164"/>
      <c r="AP536" s="164"/>
      <c r="AQ536" s="164"/>
    </row>
    <row r="537" spans="2:43" x14ac:dyDescent="0.3">
      <c r="B537" s="161"/>
      <c r="C537" s="162"/>
      <c r="D537" s="162"/>
      <c r="E537" s="163"/>
      <c r="F537" s="192"/>
      <c r="G537" s="192"/>
      <c r="H537" s="192"/>
      <c r="I537" s="192"/>
      <c r="J537" s="186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8"/>
      <c r="V537" s="168"/>
      <c r="W537" s="169"/>
      <c r="X537" s="169"/>
      <c r="Y537" s="170"/>
      <c r="Z537" s="193"/>
      <c r="AA537" s="194"/>
      <c r="AB537" s="194"/>
      <c r="AC537" s="194"/>
      <c r="AD537" s="194"/>
      <c r="AE537" s="194"/>
      <c r="AF537" s="194"/>
      <c r="AG537" s="194"/>
      <c r="AH537" s="194"/>
      <c r="AI537" s="194"/>
      <c r="AJ537" s="194"/>
      <c r="AK537" s="195"/>
      <c r="AL537" s="164"/>
      <c r="AM537" s="164"/>
      <c r="AN537" s="164"/>
      <c r="AO537" s="164"/>
      <c r="AP537" s="164"/>
      <c r="AQ537" s="164"/>
    </row>
    <row r="538" spans="2:43" x14ac:dyDescent="0.3">
      <c r="B538" s="161"/>
      <c r="C538" s="162"/>
      <c r="D538" s="162"/>
      <c r="E538" s="163"/>
      <c r="F538" s="192"/>
      <c r="G538" s="192"/>
      <c r="H538" s="192"/>
      <c r="I538" s="192"/>
      <c r="J538" s="189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1"/>
      <c r="V538" s="171"/>
      <c r="W538" s="172"/>
      <c r="X538" s="172"/>
      <c r="Y538" s="173"/>
      <c r="Z538" s="199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1"/>
      <c r="AL538" s="164"/>
      <c r="AM538" s="164"/>
      <c r="AN538" s="164"/>
      <c r="AO538" s="164"/>
      <c r="AP538" s="164"/>
      <c r="AQ538" s="164"/>
    </row>
    <row r="539" spans="2:43" x14ac:dyDescent="0.3">
      <c r="B539" s="161"/>
      <c r="C539" s="162"/>
      <c r="D539" s="162"/>
      <c r="E539" s="163"/>
      <c r="F539" s="192"/>
      <c r="G539" s="192"/>
      <c r="H539" s="192"/>
      <c r="I539" s="192"/>
      <c r="J539" s="183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5"/>
      <c r="V539" s="165"/>
      <c r="W539" s="166"/>
      <c r="X539" s="166"/>
      <c r="Y539" s="167"/>
      <c r="Z539" s="196"/>
      <c r="AA539" s="197"/>
      <c r="AB539" s="197"/>
      <c r="AC539" s="197"/>
      <c r="AD539" s="197"/>
      <c r="AE539" s="197"/>
      <c r="AF539" s="197"/>
      <c r="AG539" s="197"/>
      <c r="AH539" s="197"/>
      <c r="AI539" s="197"/>
      <c r="AJ539" s="197"/>
      <c r="AK539" s="198"/>
      <c r="AL539" s="164"/>
      <c r="AM539" s="164"/>
      <c r="AN539" s="164"/>
      <c r="AO539" s="164"/>
      <c r="AP539" s="164"/>
      <c r="AQ539" s="164"/>
    </row>
    <row r="540" spans="2:43" x14ac:dyDescent="0.3">
      <c r="B540" s="161"/>
      <c r="C540" s="162"/>
      <c r="D540" s="162"/>
      <c r="E540" s="163"/>
      <c r="F540" s="192"/>
      <c r="G540" s="192"/>
      <c r="H540" s="192"/>
      <c r="I540" s="192"/>
      <c r="J540" s="186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8"/>
      <c r="V540" s="168"/>
      <c r="W540" s="169"/>
      <c r="X540" s="169"/>
      <c r="Y540" s="170"/>
      <c r="Z540" s="193"/>
      <c r="AA540" s="194"/>
      <c r="AB540" s="194"/>
      <c r="AC540" s="194"/>
      <c r="AD540" s="194"/>
      <c r="AE540" s="194"/>
      <c r="AF540" s="194"/>
      <c r="AG540" s="194"/>
      <c r="AH540" s="194"/>
      <c r="AI540" s="194"/>
      <c r="AJ540" s="194"/>
      <c r="AK540" s="195"/>
      <c r="AL540" s="164"/>
      <c r="AM540" s="164"/>
      <c r="AN540" s="164"/>
      <c r="AO540" s="164"/>
      <c r="AP540" s="164"/>
      <c r="AQ540" s="164"/>
    </row>
    <row r="541" spans="2:43" x14ac:dyDescent="0.3">
      <c r="B541" s="161"/>
      <c r="C541" s="162"/>
      <c r="D541" s="162"/>
      <c r="E541" s="163"/>
      <c r="F541" s="192"/>
      <c r="G541" s="192"/>
      <c r="H541" s="192"/>
      <c r="I541" s="192"/>
      <c r="J541" s="186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8"/>
      <c r="V541" s="168"/>
      <c r="W541" s="169"/>
      <c r="X541" s="169"/>
      <c r="Y541" s="170"/>
      <c r="Z541" s="193"/>
      <c r="AA541" s="194"/>
      <c r="AB541" s="194"/>
      <c r="AC541" s="194"/>
      <c r="AD541" s="194"/>
      <c r="AE541" s="194"/>
      <c r="AF541" s="194"/>
      <c r="AG541" s="194"/>
      <c r="AH541" s="194"/>
      <c r="AI541" s="194"/>
      <c r="AJ541" s="194"/>
      <c r="AK541" s="195"/>
      <c r="AL541" s="164"/>
      <c r="AM541" s="164"/>
      <c r="AN541" s="164"/>
      <c r="AO541" s="164"/>
      <c r="AP541" s="164"/>
      <c r="AQ541" s="164"/>
    </row>
    <row r="542" spans="2:43" x14ac:dyDescent="0.3">
      <c r="B542" s="161"/>
      <c r="C542" s="162"/>
      <c r="D542" s="162"/>
      <c r="E542" s="163"/>
      <c r="F542" s="192"/>
      <c r="G542" s="192"/>
      <c r="H542" s="192"/>
      <c r="I542" s="192"/>
      <c r="J542" s="186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8"/>
      <c r="V542" s="168"/>
      <c r="W542" s="169"/>
      <c r="X542" s="169"/>
      <c r="Y542" s="170"/>
      <c r="Z542" s="193"/>
      <c r="AA542" s="194"/>
      <c r="AB542" s="194"/>
      <c r="AC542" s="194"/>
      <c r="AD542" s="194"/>
      <c r="AE542" s="194"/>
      <c r="AF542" s="194"/>
      <c r="AG542" s="194"/>
      <c r="AH542" s="194"/>
      <c r="AI542" s="194"/>
      <c r="AJ542" s="194"/>
      <c r="AK542" s="195"/>
      <c r="AL542" s="164"/>
      <c r="AM542" s="164"/>
      <c r="AN542" s="164"/>
      <c r="AO542" s="164"/>
      <c r="AP542" s="164"/>
      <c r="AQ542" s="164"/>
    </row>
    <row r="543" spans="2:43" x14ac:dyDescent="0.3">
      <c r="B543" s="161"/>
      <c r="C543" s="162"/>
      <c r="D543" s="162"/>
      <c r="E543" s="163"/>
      <c r="F543" s="192"/>
      <c r="G543" s="192"/>
      <c r="H543" s="192"/>
      <c r="I543" s="192"/>
      <c r="J543" s="186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8"/>
      <c r="V543" s="168"/>
      <c r="W543" s="169"/>
      <c r="X543" s="169"/>
      <c r="Y543" s="170"/>
      <c r="Z543" s="193"/>
      <c r="AA543" s="194"/>
      <c r="AB543" s="194"/>
      <c r="AC543" s="194"/>
      <c r="AD543" s="194"/>
      <c r="AE543" s="194"/>
      <c r="AF543" s="194"/>
      <c r="AG543" s="194"/>
      <c r="AH543" s="194"/>
      <c r="AI543" s="194"/>
      <c r="AJ543" s="194"/>
      <c r="AK543" s="195"/>
      <c r="AL543" s="164"/>
      <c r="AM543" s="164"/>
      <c r="AN543" s="164"/>
      <c r="AO543" s="164"/>
      <c r="AP543" s="164"/>
      <c r="AQ543" s="164"/>
    </row>
    <row r="544" spans="2:43" x14ac:dyDescent="0.3">
      <c r="B544" s="161"/>
      <c r="C544" s="162"/>
      <c r="D544" s="162"/>
      <c r="E544" s="163"/>
      <c r="F544" s="192"/>
      <c r="G544" s="192"/>
      <c r="H544" s="192"/>
      <c r="I544" s="192"/>
      <c r="J544" s="186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8"/>
      <c r="V544" s="168"/>
      <c r="W544" s="169"/>
      <c r="X544" s="169"/>
      <c r="Y544" s="170"/>
      <c r="Z544" s="193"/>
      <c r="AA544" s="194"/>
      <c r="AB544" s="194"/>
      <c r="AC544" s="194"/>
      <c r="AD544" s="194"/>
      <c r="AE544" s="194"/>
      <c r="AF544" s="194"/>
      <c r="AG544" s="194"/>
      <c r="AH544" s="194"/>
      <c r="AI544" s="194"/>
      <c r="AJ544" s="194"/>
      <c r="AK544" s="195"/>
      <c r="AL544" s="164"/>
      <c r="AM544" s="164"/>
      <c r="AN544" s="164"/>
      <c r="AO544" s="164"/>
      <c r="AP544" s="164"/>
      <c r="AQ544" s="164"/>
    </row>
    <row r="545" spans="2:43" x14ac:dyDescent="0.3">
      <c r="B545" s="161"/>
      <c r="C545" s="162"/>
      <c r="D545" s="162"/>
      <c r="E545" s="163"/>
      <c r="F545" s="192"/>
      <c r="G545" s="192"/>
      <c r="H545" s="192"/>
      <c r="I545" s="192"/>
      <c r="J545" s="186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8"/>
      <c r="V545" s="168"/>
      <c r="W545" s="169"/>
      <c r="X545" s="169"/>
      <c r="Y545" s="170"/>
      <c r="Z545" s="193"/>
      <c r="AA545" s="194"/>
      <c r="AB545" s="194"/>
      <c r="AC545" s="194"/>
      <c r="AD545" s="194"/>
      <c r="AE545" s="194"/>
      <c r="AF545" s="194"/>
      <c r="AG545" s="194"/>
      <c r="AH545" s="194"/>
      <c r="AI545" s="194"/>
      <c r="AJ545" s="194"/>
      <c r="AK545" s="195"/>
      <c r="AL545" s="164"/>
      <c r="AM545" s="164"/>
      <c r="AN545" s="164"/>
      <c r="AO545" s="164"/>
      <c r="AP545" s="164"/>
      <c r="AQ545" s="164"/>
    </row>
    <row r="546" spans="2:43" x14ac:dyDescent="0.3">
      <c r="B546" s="161"/>
      <c r="C546" s="162"/>
      <c r="D546" s="162"/>
      <c r="E546" s="163"/>
      <c r="F546" s="192"/>
      <c r="G546" s="192"/>
      <c r="H546" s="192"/>
      <c r="I546" s="192"/>
      <c r="J546" s="189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1"/>
      <c r="V546" s="171"/>
      <c r="W546" s="172"/>
      <c r="X546" s="172"/>
      <c r="Y546" s="173"/>
      <c r="Z546" s="199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1"/>
      <c r="AL546" s="164"/>
      <c r="AM546" s="164"/>
      <c r="AN546" s="164"/>
      <c r="AO546" s="164"/>
      <c r="AP546" s="164"/>
      <c r="AQ546" s="164"/>
    </row>
    <row r="547" spans="2:43" x14ac:dyDescent="0.3">
      <c r="B547" s="161"/>
      <c r="C547" s="162"/>
      <c r="D547" s="162"/>
      <c r="E547" s="163"/>
      <c r="F547" s="192"/>
      <c r="G547" s="192"/>
      <c r="H547" s="192"/>
      <c r="I547" s="192"/>
      <c r="J547" s="183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5"/>
      <c r="V547" s="165"/>
      <c r="W547" s="166"/>
      <c r="X547" s="166"/>
      <c r="Y547" s="167"/>
      <c r="Z547" s="196"/>
      <c r="AA547" s="197"/>
      <c r="AB547" s="197"/>
      <c r="AC547" s="197"/>
      <c r="AD547" s="197"/>
      <c r="AE547" s="197"/>
      <c r="AF547" s="197"/>
      <c r="AG547" s="197"/>
      <c r="AH547" s="197"/>
      <c r="AI547" s="197"/>
      <c r="AJ547" s="197"/>
      <c r="AK547" s="198"/>
      <c r="AL547" s="164"/>
      <c r="AM547" s="164"/>
      <c r="AN547" s="164"/>
      <c r="AO547" s="164"/>
      <c r="AP547" s="164"/>
      <c r="AQ547" s="164"/>
    </row>
    <row r="548" spans="2:43" x14ac:dyDescent="0.3">
      <c r="B548" s="161"/>
      <c r="C548" s="162"/>
      <c r="D548" s="162"/>
      <c r="E548" s="163"/>
      <c r="F548" s="192"/>
      <c r="G548" s="192"/>
      <c r="H548" s="192"/>
      <c r="I548" s="192"/>
      <c r="J548" s="186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8"/>
      <c r="V548" s="168"/>
      <c r="W548" s="169"/>
      <c r="X548" s="169"/>
      <c r="Y548" s="170"/>
      <c r="Z548" s="193"/>
      <c r="AA548" s="194"/>
      <c r="AB548" s="194"/>
      <c r="AC548" s="194"/>
      <c r="AD548" s="194"/>
      <c r="AE548" s="194"/>
      <c r="AF548" s="194"/>
      <c r="AG548" s="194"/>
      <c r="AH548" s="194"/>
      <c r="AI548" s="194"/>
      <c r="AJ548" s="194"/>
      <c r="AK548" s="195"/>
      <c r="AL548" s="164"/>
      <c r="AM548" s="164"/>
      <c r="AN548" s="164"/>
      <c r="AO548" s="164"/>
      <c r="AP548" s="164"/>
      <c r="AQ548" s="164"/>
    </row>
    <row r="549" spans="2:43" x14ac:dyDescent="0.3">
      <c r="B549" s="161"/>
      <c r="C549" s="162"/>
      <c r="D549" s="162"/>
      <c r="E549" s="163"/>
      <c r="F549" s="192"/>
      <c r="G549" s="192"/>
      <c r="H549" s="192"/>
      <c r="I549" s="192"/>
      <c r="J549" s="186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8"/>
      <c r="V549" s="168"/>
      <c r="W549" s="169"/>
      <c r="X549" s="169"/>
      <c r="Y549" s="170"/>
      <c r="Z549" s="193"/>
      <c r="AA549" s="194"/>
      <c r="AB549" s="194"/>
      <c r="AC549" s="194"/>
      <c r="AD549" s="194"/>
      <c r="AE549" s="194"/>
      <c r="AF549" s="194"/>
      <c r="AG549" s="194"/>
      <c r="AH549" s="194"/>
      <c r="AI549" s="194"/>
      <c r="AJ549" s="194"/>
      <c r="AK549" s="195"/>
      <c r="AL549" s="164"/>
      <c r="AM549" s="164"/>
      <c r="AN549" s="164"/>
      <c r="AO549" s="164"/>
      <c r="AP549" s="164"/>
      <c r="AQ549" s="164"/>
    </row>
    <row r="550" spans="2:43" x14ac:dyDescent="0.3">
      <c r="B550" s="161"/>
      <c r="C550" s="162"/>
      <c r="D550" s="162"/>
      <c r="E550" s="163"/>
      <c r="F550" s="192"/>
      <c r="G550" s="192"/>
      <c r="H550" s="192"/>
      <c r="I550" s="192"/>
      <c r="J550" s="186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8"/>
      <c r="V550" s="168"/>
      <c r="W550" s="169"/>
      <c r="X550" s="169"/>
      <c r="Y550" s="170"/>
      <c r="Z550" s="193"/>
      <c r="AA550" s="194"/>
      <c r="AB550" s="194"/>
      <c r="AC550" s="194"/>
      <c r="AD550" s="194"/>
      <c r="AE550" s="194"/>
      <c r="AF550" s="194"/>
      <c r="AG550" s="194"/>
      <c r="AH550" s="194"/>
      <c r="AI550" s="194"/>
      <c r="AJ550" s="194"/>
      <c r="AK550" s="195"/>
      <c r="AL550" s="164"/>
      <c r="AM550" s="164"/>
      <c r="AN550" s="164"/>
      <c r="AO550" s="164"/>
      <c r="AP550" s="164"/>
      <c r="AQ550" s="164"/>
    </row>
    <row r="551" spans="2:43" x14ac:dyDescent="0.3">
      <c r="B551" s="161"/>
      <c r="C551" s="162"/>
      <c r="D551" s="162"/>
      <c r="E551" s="163"/>
      <c r="F551" s="192"/>
      <c r="G551" s="192"/>
      <c r="H551" s="192"/>
      <c r="I551" s="192"/>
      <c r="J551" s="186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8"/>
      <c r="V551" s="168"/>
      <c r="W551" s="169"/>
      <c r="X551" s="169"/>
      <c r="Y551" s="170"/>
      <c r="Z551" s="193"/>
      <c r="AA551" s="194"/>
      <c r="AB551" s="194"/>
      <c r="AC551" s="194"/>
      <c r="AD551" s="194"/>
      <c r="AE551" s="194"/>
      <c r="AF551" s="194"/>
      <c r="AG551" s="194"/>
      <c r="AH551" s="194"/>
      <c r="AI551" s="194"/>
      <c r="AJ551" s="194"/>
      <c r="AK551" s="195"/>
      <c r="AL551" s="164"/>
      <c r="AM551" s="164"/>
      <c r="AN551" s="164"/>
      <c r="AO551" s="164"/>
      <c r="AP551" s="164"/>
      <c r="AQ551" s="164"/>
    </row>
    <row r="552" spans="2:43" x14ac:dyDescent="0.3">
      <c r="B552" s="161"/>
      <c r="C552" s="162"/>
      <c r="D552" s="162"/>
      <c r="E552" s="163"/>
      <c r="F552" s="192"/>
      <c r="G552" s="192"/>
      <c r="H552" s="192"/>
      <c r="I552" s="192"/>
      <c r="J552" s="186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8"/>
      <c r="V552" s="168"/>
      <c r="W552" s="169"/>
      <c r="X552" s="169"/>
      <c r="Y552" s="170"/>
      <c r="Z552" s="193"/>
      <c r="AA552" s="194"/>
      <c r="AB552" s="194"/>
      <c r="AC552" s="194"/>
      <c r="AD552" s="194"/>
      <c r="AE552" s="194"/>
      <c r="AF552" s="194"/>
      <c r="AG552" s="194"/>
      <c r="AH552" s="194"/>
      <c r="AI552" s="194"/>
      <c r="AJ552" s="194"/>
      <c r="AK552" s="195"/>
      <c r="AL552" s="164"/>
      <c r="AM552" s="164"/>
      <c r="AN552" s="164"/>
      <c r="AO552" s="164"/>
      <c r="AP552" s="164"/>
      <c r="AQ552" s="164"/>
    </row>
    <row r="553" spans="2:43" x14ac:dyDescent="0.3">
      <c r="B553" s="161"/>
      <c r="C553" s="162"/>
      <c r="D553" s="162"/>
      <c r="E553" s="163"/>
      <c r="F553" s="192"/>
      <c r="G553" s="192"/>
      <c r="H553" s="192"/>
      <c r="I553" s="192"/>
      <c r="J553" s="186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8"/>
      <c r="V553" s="168"/>
      <c r="W553" s="169"/>
      <c r="X553" s="169"/>
      <c r="Y553" s="170"/>
      <c r="Z553" s="193"/>
      <c r="AA553" s="194"/>
      <c r="AB553" s="194"/>
      <c r="AC553" s="194"/>
      <c r="AD553" s="194"/>
      <c r="AE553" s="194"/>
      <c r="AF553" s="194"/>
      <c r="AG553" s="194"/>
      <c r="AH553" s="194"/>
      <c r="AI553" s="194"/>
      <c r="AJ553" s="194"/>
      <c r="AK553" s="195"/>
      <c r="AL553" s="164"/>
      <c r="AM553" s="164"/>
      <c r="AN553" s="164"/>
      <c r="AO553" s="164"/>
      <c r="AP553" s="164"/>
      <c r="AQ553" s="164"/>
    </row>
    <row r="554" spans="2:43" x14ac:dyDescent="0.3">
      <c r="B554" s="161"/>
      <c r="C554" s="162"/>
      <c r="D554" s="162"/>
      <c r="E554" s="163"/>
      <c r="F554" s="192"/>
      <c r="G554" s="192"/>
      <c r="H554" s="192"/>
      <c r="I554" s="192"/>
      <c r="J554" s="189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1"/>
      <c r="V554" s="171"/>
      <c r="W554" s="172"/>
      <c r="X554" s="172"/>
      <c r="Y554" s="173"/>
      <c r="Z554" s="199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1"/>
      <c r="AL554" s="164"/>
      <c r="AM554" s="164"/>
      <c r="AN554" s="164"/>
      <c r="AO554" s="164"/>
      <c r="AP554" s="164"/>
      <c r="AQ554" s="164"/>
    </row>
    <row r="555" spans="2:43" x14ac:dyDescent="0.3">
      <c r="B555" s="161"/>
      <c r="C555" s="162"/>
      <c r="D555" s="162"/>
      <c r="E555" s="163"/>
      <c r="F555" s="192"/>
      <c r="G555" s="192"/>
      <c r="H555" s="192"/>
      <c r="I555" s="192"/>
      <c r="J555" s="183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5"/>
      <c r="V555" s="165"/>
      <c r="W555" s="166"/>
      <c r="X555" s="166"/>
      <c r="Y555" s="167"/>
      <c r="Z555" s="196"/>
      <c r="AA555" s="197"/>
      <c r="AB555" s="197"/>
      <c r="AC555" s="197"/>
      <c r="AD555" s="197"/>
      <c r="AE555" s="197"/>
      <c r="AF555" s="197"/>
      <c r="AG555" s="197"/>
      <c r="AH555" s="197"/>
      <c r="AI555" s="197"/>
      <c r="AJ555" s="197"/>
      <c r="AK555" s="198"/>
      <c r="AL555" s="164"/>
      <c r="AM555" s="164"/>
      <c r="AN555" s="164"/>
      <c r="AO555" s="164"/>
      <c r="AP555" s="164"/>
      <c r="AQ555" s="164"/>
    </row>
    <row r="556" spans="2:43" x14ac:dyDescent="0.3">
      <c r="B556" s="161"/>
      <c r="C556" s="162"/>
      <c r="D556" s="162"/>
      <c r="E556" s="163"/>
      <c r="F556" s="192"/>
      <c r="G556" s="192"/>
      <c r="H556" s="192"/>
      <c r="I556" s="192"/>
      <c r="J556" s="186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8"/>
      <c r="V556" s="168"/>
      <c r="W556" s="169"/>
      <c r="X556" s="169"/>
      <c r="Y556" s="170"/>
      <c r="Z556" s="193"/>
      <c r="AA556" s="194"/>
      <c r="AB556" s="194"/>
      <c r="AC556" s="194"/>
      <c r="AD556" s="194"/>
      <c r="AE556" s="194"/>
      <c r="AF556" s="194"/>
      <c r="AG556" s="194"/>
      <c r="AH556" s="194"/>
      <c r="AI556" s="194"/>
      <c r="AJ556" s="194"/>
      <c r="AK556" s="195"/>
      <c r="AL556" s="164"/>
      <c r="AM556" s="164"/>
      <c r="AN556" s="164"/>
      <c r="AO556" s="164"/>
      <c r="AP556" s="164"/>
      <c r="AQ556" s="164"/>
    </row>
    <row r="557" spans="2:43" x14ac:dyDescent="0.3">
      <c r="B557" s="161"/>
      <c r="C557" s="162"/>
      <c r="D557" s="162"/>
      <c r="E557" s="163"/>
      <c r="F557" s="192"/>
      <c r="G557" s="192"/>
      <c r="H557" s="192"/>
      <c r="I557" s="192"/>
      <c r="J557" s="186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8"/>
      <c r="V557" s="168"/>
      <c r="W557" s="169"/>
      <c r="X557" s="169"/>
      <c r="Y557" s="170"/>
      <c r="Z557" s="193"/>
      <c r="AA557" s="194"/>
      <c r="AB557" s="194"/>
      <c r="AC557" s="194"/>
      <c r="AD557" s="194"/>
      <c r="AE557" s="194"/>
      <c r="AF557" s="194"/>
      <c r="AG557" s="194"/>
      <c r="AH557" s="194"/>
      <c r="AI557" s="194"/>
      <c r="AJ557" s="194"/>
      <c r="AK557" s="195"/>
      <c r="AL557" s="164"/>
      <c r="AM557" s="164"/>
      <c r="AN557" s="164"/>
      <c r="AO557" s="164"/>
      <c r="AP557" s="164"/>
      <c r="AQ557" s="164"/>
    </row>
    <row r="558" spans="2:43" x14ac:dyDescent="0.3">
      <c r="B558" s="161"/>
      <c r="C558" s="162"/>
      <c r="D558" s="162"/>
      <c r="E558" s="163"/>
      <c r="F558" s="192"/>
      <c r="G558" s="192"/>
      <c r="H558" s="192"/>
      <c r="I558" s="192"/>
      <c r="J558" s="186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8"/>
      <c r="V558" s="168"/>
      <c r="W558" s="169"/>
      <c r="X558" s="169"/>
      <c r="Y558" s="170"/>
      <c r="Z558" s="193"/>
      <c r="AA558" s="194"/>
      <c r="AB558" s="194"/>
      <c r="AC558" s="194"/>
      <c r="AD558" s="194"/>
      <c r="AE558" s="194"/>
      <c r="AF558" s="194"/>
      <c r="AG558" s="194"/>
      <c r="AH558" s="194"/>
      <c r="AI558" s="194"/>
      <c r="AJ558" s="194"/>
      <c r="AK558" s="195"/>
      <c r="AL558" s="164"/>
      <c r="AM558" s="164"/>
      <c r="AN558" s="164"/>
      <c r="AO558" s="164"/>
      <c r="AP558" s="164"/>
      <c r="AQ558" s="164"/>
    </row>
    <row r="559" spans="2:43" x14ac:dyDescent="0.3">
      <c r="B559" s="161"/>
      <c r="C559" s="162"/>
      <c r="D559" s="162"/>
      <c r="E559" s="163"/>
      <c r="F559" s="192"/>
      <c r="G559" s="192"/>
      <c r="H559" s="192"/>
      <c r="I559" s="192"/>
      <c r="J559" s="186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8"/>
      <c r="V559" s="168"/>
      <c r="W559" s="169"/>
      <c r="X559" s="169"/>
      <c r="Y559" s="170"/>
      <c r="Z559" s="193"/>
      <c r="AA559" s="194"/>
      <c r="AB559" s="194"/>
      <c r="AC559" s="194"/>
      <c r="AD559" s="194"/>
      <c r="AE559" s="194"/>
      <c r="AF559" s="194"/>
      <c r="AG559" s="194"/>
      <c r="AH559" s="194"/>
      <c r="AI559" s="194"/>
      <c r="AJ559" s="194"/>
      <c r="AK559" s="195"/>
      <c r="AL559" s="164"/>
      <c r="AM559" s="164"/>
      <c r="AN559" s="164"/>
      <c r="AO559" s="164"/>
      <c r="AP559" s="164"/>
      <c r="AQ559" s="164"/>
    </row>
    <row r="560" spans="2:43" x14ac:dyDescent="0.3">
      <c r="B560" s="161"/>
      <c r="C560" s="162"/>
      <c r="D560" s="162"/>
      <c r="E560" s="163"/>
      <c r="F560" s="192"/>
      <c r="G560" s="192"/>
      <c r="H560" s="192"/>
      <c r="I560" s="192"/>
      <c r="J560" s="186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8"/>
      <c r="V560" s="168"/>
      <c r="W560" s="169"/>
      <c r="X560" s="169"/>
      <c r="Y560" s="170"/>
      <c r="Z560" s="193"/>
      <c r="AA560" s="194"/>
      <c r="AB560" s="194"/>
      <c r="AC560" s="194"/>
      <c r="AD560" s="194"/>
      <c r="AE560" s="194"/>
      <c r="AF560" s="194"/>
      <c r="AG560" s="194"/>
      <c r="AH560" s="194"/>
      <c r="AI560" s="194"/>
      <c r="AJ560" s="194"/>
      <c r="AK560" s="195"/>
      <c r="AL560" s="164"/>
      <c r="AM560" s="164"/>
      <c r="AN560" s="164"/>
      <c r="AO560" s="164"/>
      <c r="AP560" s="164"/>
      <c r="AQ560" s="164"/>
    </row>
    <row r="561" spans="2:43" x14ac:dyDescent="0.3">
      <c r="B561" s="161"/>
      <c r="C561" s="162"/>
      <c r="D561" s="162"/>
      <c r="E561" s="163"/>
      <c r="F561" s="192"/>
      <c r="G561" s="192"/>
      <c r="H561" s="192"/>
      <c r="I561" s="192"/>
      <c r="J561" s="186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8"/>
      <c r="V561" s="168"/>
      <c r="W561" s="169"/>
      <c r="X561" s="169"/>
      <c r="Y561" s="170"/>
      <c r="Z561" s="193"/>
      <c r="AA561" s="194"/>
      <c r="AB561" s="194"/>
      <c r="AC561" s="194"/>
      <c r="AD561" s="194"/>
      <c r="AE561" s="194"/>
      <c r="AF561" s="194"/>
      <c r="AG561" s="194"/>
      <c r="AH561" s="194"/>
      <c r="AI561" s="194"/>
      <c r="AJ561" s="194"/>
      <c r="AK561" s="195"/>
      <c r="AL561" s="164"/>
      <c r="AM561" s="164"/>
      <c r="AN561" s="164"/>
      <c r="AO561" s="164"/>
      <c r="AP561" s="164"/>
      <c r="AQ561" s="164"/>
    </row>
    <row r="562" spans="2:43" x14ac:dyDescent="0.3">
      <c r="B562" s="161"/>
      <c r="C562" s="162"/>
      <c r="D562" s="162"/>
      <c r="E562" s="163"/>
      <c r="F562" s="192"/>
      <c r="G562" s="192"/>
      <c r="H562" s="192"/>
      <c r="I562" s="192"/>
      <c r="J562" s="189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1"/>
      <c r="V562" s="171"/>
      <c r="W562" s="172"/>
      <c r="X562" s="172"/>
      <c r="Y562" s="173"/>
      <c r="Z562" s="199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1"/>
      <c r="AL562" s="164"/>
      <c r="AM562" s="164"/>
      <c r="AN562" s="164"/>
      <c r="AO562" s="164"/>
      <c r="AP562" s="164"/>
      <c r="AQ562" s="164"/>
    </row>
    <row r="563" spans="2:43" x14ac:dyDescent="0.3">
      <c r="B563" s="161"/>
      <c r="C563" s="162"/>
      <c r="D563" s="162"/>
      <c r="E563" s="163"/>
      <c r="F563" s="192"/>
      <c r="G563" s="192"/>
      <c r="H563" s="192"/>
      <c r="I563" s="192"/>
      <c r="J563" s="183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5"/>
      <c r="V563" s="165"/>
      <c r="W563" s="166"/>
      <c r="X563" s="166"/>
      <c r="Y563" s="167"/>
      <c r="Z563" s="196"/>
      <c r="AA563" s="197"/>
      <c r="AB563" s="197"/>
      <c r="AC563" s="197"/>
      <c r="AD563" s="197"/>
      <c r="AE563" s="197"/>
      <c r="AF563" s="197"/>
      <c r="AG563" s="197"/>
      <c r="AH563" s="197"/>
      <c r="AI563" s="197"/>
      <c r="AJ563" s="197"/>
      <c r="AK563" s="198"/>
      <c r="AL563" s="164"/>
      <c r="AM563" s="164"/>
      <c r="AN563" s="164"/>
      <c r="AO563" s="164"/>
      <c r="AP563" s="164"/>
      <c r="AQ563" s="164"/>
    </row>
    <row r="564" spans="2:43" x14ac:dyDescent="0.3">
      <c r="B564" s="161"/>
      <c r="C564" s="162"/>
      <c r="D564" s="162"/>
      <c r="E564" s="163"/>
      <c r="F564" s="192"/>
      <c r="G564" s="192"/>
      <c r="H564" s="192"/>
      <c r="I564" s="192"/>
      <c r="J564" s="186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8"/>
      <c r="V564" s="168"/>
      <c r="W564" s="169"/>
      <c r="X564" s="169"/>
      <c r="Y564" s="170"/>
      <c r="Z564" s="193"/>
      <c r="AA564" s="194"/>
      <c r="AB564" s="194"/>
      <c r="AC564" s="194"/>
      <c r="AD564" s="194"/>
      <c r="AE564" s="194"/>
      <c r="AF564" s="194"/>
      <c r="AG564" s="194"/>
      <c r="AH564" s="194"/>
      <c r="AI564" s="194"/>
      <c r="AJ564" s="194"/>
      <c r="AK564" s="195"/>
      <c r="AL564" s="164"/>
      <c r="AM564" s="164"/>
      <c r="AN564" s="164"/>
      <c r="AO564" s="164"/>
      <c r="AP564" s="164"/>
      <c r="AQ564" s="164"/>
    </row>
    <row r="565" spans="2:43" x14ac:dyDescent="0.3">
      <c r="B565" s="161"/>
      <c r="C565" s="162"/>
      <c r="D565" s="162"/>
      <c r="E565" s="163"/>
      <c r="F565" s="192"/>
      <c r="G565" s="192"/>
      <c r="H565" s="192"/>
      <c r="I565" s="192"/>
      <c r="J565" s="186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8"/>
      <c r="V565" s="168"/>
      <c r="W565" s="169"/>
      <c r="X565" s="169"/>
      <c r="Y565" s="170"/>
      <c r="Z565" s="193"/>
      <c r="AA565" s="194"/>
      <c r="AB565" s="194"/>
      <c r="AC565" s="194"/>
      <c r="AD565" s="194"/>
      <c r="AE565" s="194"/>
      <c r="AF565" s="194"/>
      <c r="AG565" s="194"/>
      <c r="AH565" s="194"/>
      <c r="AI565" s="194"/>
      <c r="AJ565" s="194"/>
      <c r="AK565" s="195"/>
      <c r="AL565" s="164"/>
      <c r="AM565" s="164"/>
      <c r="AN565" s="164"/>
      <c r="AO565" s="164"/>
      <c r="AP565" s="164"/>
      <c r="AQ565" s="164"/>
    </row>
    <row r="566" spans="2:43" x14ac:dyDescent="0.3">
      <c r="B566" s="161"/>
      <c r="C566" s="162"/>
      <c r="D566" s="162"/>
      <c r="E566" s="163"/>
      <c r="F566" s="192"/>
      <c r="G566" s="192"/>
      <c r="H566" s="192"/>
      <c r="I566" s="192"/>
      <c r="J566" s="186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8"/>
      <c r="V566" s="168"/>
      <c r="W566" s="169"/>
      <c r="X566" s="169"/>
      <c r="Y566" s="170"/>
      <c r="Z566" s="193"/>
      <c r="AA566" s="194"/>
      <c r="AB566" s="194"/>
      <c r="AC566" s="194"/>
      <c r="AD566" s="194"/>
      <c r="AE566" s="194"/>
      <c r="AF566" s="194"/>
      <c r="AG566" s="194"/>
      <c r="AH566" s="194"/>
      <c r="AI566" s="194"/>
      <c r="AJ566" s="194"/>
      <c r="AK566" s="195"/>
      <c r="AL566" s="164"/>
      <c r="AM566" s="164"/>
      <c r="AN566" s="164"/>
      <c r="AO566" s="164"/>
      <c r="AP566" s="164"/>
      <c r="AQ566" s="164"/>
    </row>
    <row r="567" spans="2:43" x14ac:dyDescent="0.3">
      <c r="B567" s="161"/>
      <c r="C567" s="162"/>
      <c r="D567" s="162"/>
      <c r="E567" s="163"/>
      <c r="F567" s="192"/>
      <c r="G567" s="192"/>
      <c r="H567" s="192"/>
      <c r="I567" s="192"/>
      <c r="J567" s="186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8"/>
      <c r="V567" s="168"/>
      <c r="W567" s="169"/>
      <c r="X567" s="169"/>
      <c r="Y567" s="170"/>
      <c r="Z567" s="193"/>
      <c r="AA567" s="194"/>
      <c r="AB567" s="194"/>
      <c r="AC567" s="194"/>
      <c r="AD567" s="194"/>
      <c r="AE567" s="194"/>
      <c r="AF567" s="194"/>
      <c r="AG567" s="194"/>
      <c r="AH567" s="194"/>
      <c r="AI567" s="194"/>
      <c r="AJ567" s="194"/>
      <c r="AK567" s="195"/>
      <c r="AL567" s="164"/>
      <c r="AM567" s="164"/>
      <c r="AN567" s="164"/>
      <c r="AO567" s="164"/>
      <c r="AP567" s="164"/>
      <c r="AQ567" s="164"/>
    </row>
    <row r="568" spans="2:43" x14ac:dyDescent="0.3">
      <c r="B568" s="161"/>
      <c r="C568" s="162"/>
      <c r="D568" s="162"/>
      <c r="E568" s="163"/>
      <c r="F568" s="192"/>
      <c r="G568" s="192"/>
      <c r="H568" s="192"/>
      <c r="I568" s="192"/>
      <c r="J568" s="186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8"/>
      <c r="V568" s="168"/>
      <c r="W568" s="169"/>
      <c r="X568" s="169"/>
      <c r="Y568" s="170"/>
      <c r="Z568" s="193"/>
      <c r="AA568" s="194"/>
      <c r="AB568" s="194"/>
      <c r="AC568" s="194"/>
      <c r="AD568" s="194"/>
      <c r="AE568" s="194"/>
      <c r="AF568" s="194"/>
      <c r="AG568" s="194"/>
      <c r="AH568" s="194"/>
      <c r="AI568" s="194"/>
      <c r="AJ568" s="194"/>
      <c r="AK568" s="195"/>
      <c r="AL568" s="164"/>
      <c r="AM568" s="164"/>
      <c r="AN568" s="164"/>
      <c r="AO568" s="164"/>
      <c r="AP568" s="164"/>
      <c r="AQ568" s="164"/>
    </row>
    <row r="569" spans="2:43" x14ac:dyDescent="0.3">
      <c r="B569" s="161"/>
      <c r="C569" s="162"/>
      <c r="D569" s="162"/>
      <c r="E569" s="163"/>
      <c r="F569" s="192"/>
      <c r="G569" s="192"/>
      <c r="H569" s="192"/>
      <c r="I569" s="192"/>
      <c r="J569" s="186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8"/>
      <c r="V569" s="168"/>
      <c r="W569" s="169"/>
      <c r="X569" s="169"/>
      <c r="Y569" s="170"/>
      <c r="Z569" s="193"/>
      <c r="AA569" s="194"/>
      <c r="AB569" s="194"/>
      <c r="AC569" s="194"/>
      <c r="AD569" s="194"/>
      <c r="AE569" s="194"/>
      <c r="AF569" s="194"/>
      <c r="AG569" s="194"/>
      <c r="AH569" s="194"/>
      <c r="AI569" s="194"/>
      <c r="AJ569" s="194"/>
      <c r="AK569" s="195"/>
      <c r="AL569" s="164"/>
      <c r="AM569" s="164"/>
      <c r="AN569" s="164"/>
      <c r="AO569" s="164"/>
      <c r="AP569" s="164"/>
      <c r="AQ569" s="164"/>
    </row>
    <row r="570" spans="2:43" x14ac:dyDescent="0.3">
      <c r="B570" s="161"/>
      <c r="C570" s="162"/>
      <c r="D570" s="162"/>
      <c r="E570" s="163"/>
      <c r="F570" s="192"/>
      <c r="G570" s="192"/>
      <c r="H570" s="192"/>
      <c r="I570" s="192"/>
      <c r="J570" s="189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1"/>
      <c r="V570" s="171"/>
      <c r="W570" s="172"/>
      <c r="X570" s="172"/>
      <c r="Y570" s="173"/>
      <c r="Z570" s="199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1"/>
      <c r="AL570" s="164"/>
      <c r="AM570" s="164"/>
      <c r="AN570" s="164"/>
      <c r="AO570" s="164"/>
      <c r="AP570" s="164"/>
      <c r="AQ570" s="164"/>
    </row>
    <row r="571" spans="2:43" x14ac:dyDescent="0.3">
      <c r="B571" s="161"/>
      <c r="C571" s="162"/>
      <c r="D571" s="162"/>
      <c r="E571" s="163"/>
      <c r="F571" s="192"/>
      <c r="G571" s="192"/>
      <c r="H571" s="192"/>
      <c r="I571" s="192"/>
      <c r="J571" s="183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5"/>
      <c r="V571" s="165"/>
      <c r="W571" s="166"/>
      <c r="X571" s="166"/>
      <c r="Y571" s="167"/>
      <c r="Z571" s="196"/>
      <c r="AA571" s="197"/>
      <c r="AB571" s="197"/>
      <c r="AC571" s="197"/>
      <c r="AD571" s="197"/>
      <c r="AE571" s="197"/>
      <c r="AF571" s="197"/>
      <c r="AG571" s="197"/>
      <c r="AH571" s="197"/>
      <c r="AI571" s="197"/>
      <c r="AJ571" s="197"/>
      <c r="AK571" s="198"/>
      <c r="AL571" s="164"/>
      <c r="AM571" s="164"/>
      <c r="AN571" s="164"/>
      <c r="AO571" s="164"/>
      <c r="AP571" s="164"/>
      <c r="AQ571" s="164"/>
    </row>
    <row r="572" spans="2:43" x14ac:dyDescent="0.3">
      <c r="B572" s="161"/>
      <c r="C572" s="162"/>
      <c r="D572" s="162"/>
      <c r="E572" s="163"/>
      <c r="F572" s="192"/>
      <c r="G572" s="192"/>
      <c r="H572" s="192"/>
      <c r="I572" s="192"/>
      <c r="J572" s="186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8"/>
      <c r="V572" s="168"/>
      <c r="W572" s="169"/>
      <c r="X572" s="169"/>
      <c r="Y572" s="170"/>
      <c r="Z572" s="193"/>
      <c r="AA572" s="194"/>
      <c r="AB572" s="194"/>
      <c r="AC572" s="194"/>
      <c r="AD572" s="194"/>
      <c r="AE572" s="194"/>
      <c r="AF572" s="194"/>
      <c r="AG572" s="194"/>
      <c r="AH572" s="194"/>
      <c r="AI572" s="194"/>
      <c r="AJ572" s="194"/>
      <c r="AK572" s="195"/>
      <c r="AL572" s="164"/>
      <c r="AM572" s="164"/>
      <c r="AN572" s="164"/>
      <c r="AO572" s="164"/>
      <c r="AP572" s="164"/>
      <c r="AQ572" s="164"/>
    </row>
    <row r="573" spans="2:43" x14ac:dyDescent="0.3">
      <c r="B573" s="161"/>
      <c r="C573" s="162"/>
      <c r="D573" s="162"/>
      <c r="E573" s="163"/>
      <c r="F573" s="192"/>
      <c r="G573" s="192"/>
      <c r="H573" s="192"/>
      <c r="I573" s="192"/>
      <c r="J573" s="186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8"/>
      <c r="V573" s="168"/>
      <c r="W573" s="169"/>
      <c r="X573" s="169"/>
      <c r="Y573" s="170"/>
      <c r="Z573" s="193"/>
      <c r="AA573" s="194"/>
      <c r="AB573" s="194"/>
      <c r="AC573" s="194"/>
      <c r="AD573" s="194"/>
      <c r="AE573" s="194"/>
      <c r="AF573" s="194"/>
      <c r="AG573" s="194"/>
      <c r="AH573" s="194"/>
      <c r="AI573" s="194"/>
      <c r="AJ573" s="194"/>
      <c r="AK573" s="195"/>
      <c r="AL573" s="164"/>
      <c r="AM573" s="164"/>
      <c r="AN573" s="164"/>
      <c r="AO573" s="164"/>
      <c r="AP573" s="164"/>
      <c r="AQ573" s="164"/>
    </row>
    <row r="574" spans="2:43" x14ac:dyDescent="0.3">
      <c r="B574" s="161"/>
      <c r="C574" s="162"/>
      <c r="D574" s="162"/>
      <c r="E574" s="163"/>
      <c r="F574" s="192"/>
      <c r="G574" s="192"/>
      <c r="H574" s="192"/>
      <c r="I574" s="192"/>
      <c r="J574" s="186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8"/>
      <c r="V574" s="168"/>
      <c r="W574" s="169"/>
      <c r="X574" s="169"/>
      <c r="Y574" s="170"/>
      <c r="Z574" s="193"/>
      <c r="AA574" s="194"/>
      <c r="AB574" s="194"/>
      <c r="AC574" s="194"/>
      <c r="AD574" s="194"/>
      <c r="AE574" s="194"/>
      <c r="AF574" s="194"/>
      <c r="AG574" s="194"/>
      <c r="AH574" s="194"/>
      <c r="AI574" s="194"/>
      <c r="AJ574" s="194"/>
      <c r="AK574" s="195"/>
      <c r="AL574" s="164"/>
      <c r="AM574" s="164"/>
      <c r="AN574" s="164"/>
      <c r="AO574" s="164"/>
      <c r="AP574" s="164"/>
      <c r="AQ574" s="164"/>
    </row>
    <row r="575" spans="2:43" x14ac:dyDescent="0.3">
      <c r="B575" s="161"/>
      <c r="C575" s="162"/>
      <c r="D575" s="162"/>
      <c r="E575" s="163"/>
      <c r="F575" s="192"/>
      <c r="G575" s="192"/>
      <c r="H575" s="192"/>
      <c r="I575" s="192"/>
      <c r="J575" s="186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8"/>
      <c r="V575" s="168"/>
      <c r="W575" s="169"/>
      <c r="X575" s="169"/>
      <c r="Y575" s="170"/>
      <c r="Z575" s="193"/>
      <c r="AA575" s="194"/>
      <c r="AB575" s="194"/>
      <c r="AC575" s="194"/>
      <c r="AD575" s="194"/>
      <c r="AE575" s="194"/>
      <c r="AF575" s="194"/>
      <c r="AG575" s="194"/>
      <c r="AH575" s="194"/>
      <c r="AI575" s="194"/>
      <c r="AJ575" s="194"/>
      <c r="AK575" s="195"/>
      <c r="AL575" s="164"/>
      <c r="AM575" s="164"/>
      <c r="AN575" s="164"/>
      <c r="AO575" s="164"/>
      <c r="AP575" s="164"/>
      <c r="AQ575" s="164"/>
    </row>
    <row r="576" spans="2:43" x14ac:dyDescent="0.3">
      <c r="B576" s="161"/>
      <c r="C576" s="162"/>
      <c r="D576" s="162"/>
      <c r="E576" s="163"/>
      <c r="F576" s="192"/>
      <c r="G576" s="192"/>
      <c r="H576" s="192"/>
      <c r="I576" s="192"/>
      <c r="J576" s="186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8"/>
      <c r="V576" s="168"/>
      <c r="W576" s="169"/>
      <c r="X576" s="169"/>
      <c r="Y576" s="170"/>
      <c r="Z576" s="193"/>
      <c r="AA576" s="194"/>
      <c r="AB576" s="194"/>
      <c r="AC576" s="194"/>
      <c r="AD576" s="194"/>
      <c r="AE576" s="194"/>
      <c r="AF576" s="194"/>
      <c r="AG576" s="194"/>
      <c r="AH576" s="194"/>
      <c r="AI576" s="194"/>
      <c r="AJ576" s="194"/>
      <c r="AK576" s="195"/>
      <c r="AL576" s="164"/>
      <c r="AM576" s="164"/>
      <c r="AN576" s="164"/>
      <c r="AO576" s="164"/>
      <c r="AP576" s="164"/>
      <c r="AQ576" s="164"/>
    </row>
    <row r="577" spans="2:43" x14ac:dyDescent="0.3">
      <c r="B577" s="161"/>
      <c r="C577" s="162"/>
      <c r="D577" s="162"/>
      <c r="E577" s="163"/>
      <c r="F577" s="192"/>
      <c r="G577" s="192"/>
      <c r="H577" s="192"/>
      <c r="I577" s="192"/>
      <c r="J577" s="186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8"/>
      <c r="V577" s="168"/>
      <c r="W577" s="169"/>
      <c r="X577" s="169"/>
      <c r="Y577" s="170"/>
      <c r="Z577" s="193"/>
      <c r="AA577" s="194"/>
      <c r="AB577" s="194"/>
      <c r="AC577" s="194"/>
      <c r="AD577" s="194"/>
      <c r="AE577" s="194"/>
      <c r="AF577" s="194"/>
      <c r="AG577" s="194"/>
      <c r="AH577" s="194"/>
      <c r="AI577" s="194"/>
      <c r="AJ577" s="194"/>
      <c r="AK577" s="195"/>
      <c r="AL577" s="164"/>
      <c r="AM577" s="164"/>
      <c r="AN577" s="164"/>
      <c r="AO577" s="164"/>
      <c r="AP577" s="164"/>
      <c r="AQ577" s="164"/>
    </row>
    <row r="578" spans="2:43" x14ac:dyDescent="0.3">
      <c r="B578" s="161"/>
      <c r="C578" s="162"/>
      <c r="D578" s="162"/>
      <c r="E578" s="163"/>
      <c r="F578" s="192"/>
      <c r="G578" s="192"/>
      <c r="H578" s="192"/>
      <c r="I578" s="192"/>
      <c r="J578" s="189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1"/>
      <c r="V578" s="171"/>
      <c r="W578" s="172"/>
      <c r="X578" s="172"/>
      <c r="Y578" s="173"/>
      <c r="Z578" s="199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  <c r="AK578" s="201"/>
      <c r="AL578" s="164"/>
      <c r="AM578" s="164"/>
      <c r="AN578" s="164"/>
      <c r="AO578" s="164"/>
      <c r="AP578" s="164"/>
      <c r="AQ578" s="164"/>
    </row>
    <row r="579" spans="2:43" x14ac:dyDescent="0.3">
      <c r="B579" s="161"/>
      <c r="C579" s="162"/>
      <c r="D579" s="162"/>
      <c r="E579" s="163"/>
      <c r="F579" s="192"/>
      <c r="G579" s="192"/>
      <c r="H579" s="192"/>
      <c r="I579" s="192"/>
      <c r="J579" s="174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6"/>
      <c r="V579" s="165"/>
      <c r="W579" s="166"/>
      <c r="X579" s="166"/>
      <c r="Y579" s="167"/>
      <c r="Z579" s="196"/>
      <c r="AA579" s="197"/>
      <c r="AB579" s="197"/>
      <c r="AC579" s="197"/>
      <c r="AD579" s="197"/>
      <c r="AE579" s="197"/>
      <c r="AF579" s="197"/>
      <c r="AG579" s="197"/>
      <c r="AH579" s="197"/>
      <c r="AI579" s="197"/>
      <c r="AJ579" s="197"/>
      <c r="AK579" s="198"/>
      <c r="AL579" s="164"/>
      <c r="AM579" s="164"/>
      <c r="AN579" s="164"/>
      <c r="AO579" s="164"/>
      <c r="AP579" s="164"/>
      <c r="AQ579" s="164"/>
    </row>
    <row r="580" spans="2:43" x14ac:dyDescent="0.3">
      <c r="B580" s="161"/>
      <c r="C580" s="162"/>
      <c r="D580" s="162"/>
      <c r="E580" s="163"/>
      <c r="F580" s="192"/>
      <c r="G580" s="192"/>
      <c r="H580" s="192"/>
      <c r="I580" s="192"/>
      <c r="J580" s="177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9"/>
      <c r="V580" s="168"/>
      <c r="W580" s="169"/>
      <c r="X580" s="169"/>
      <c r="Y580" s="170"/>
      <c r="Z580" s="193"/>
      <c r="AA580" s="194"/>
      <c r="AB580" s="194"/>
      <c r="AC580" s="194"/>
      <c r="AD580" s="194"/>
      <c r="AE580" s="194"/>
      <c r="AF580" s="194"/>
      <c r="AG580" s="194"/>
      <c r="AH580" s="194"/>
      <c r="AI580" s="194"/>
      <c r="AJ580" s="194"/>
      <c r="AK580" s="195"/>
      <c r="AL580" s="164"/>
      <c r="AM580" s="164"/>
      <c r="AN580" s="164"/>
      <c r="AO580" s="164"/>
      <c r="AP580" s="164"/>
      <c r="AQ580" s="164"/>
    </row>
    <row r="581" spans="2:43" x14ac:dyDescent="0.3">
      <c r="B581" s="161"/>
      <c r="C581" s="162"/>
      <c r="D581" s="162"/>
      <c r="E581" s="163"/>
      <c r="F581" s="192"/>
      <c r="G581" s="192"/>
      <c r="H581" s="192"/>
      <c r="I581" s="192"/>
      <c r="J581" s="177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9"/>
      <c r="V581" s="168"/>
      <c r="W581" s="169"/>
      <c r="X581" s="169"/>
      <c r="Y581" s="170"/>
      <c r="Z581" s="193"/>
      <c r="AA581" s="194"/>
      <c r="AB581" s="194"/>
      <c r="AC581" s="194"/>
      <c r="AD581" s="194"/>
      <c r="AE581" s="194"/>
      <c r="AF581" s="194"/>
      <c r="AG581" s="194"/>
      <c r="AH581" s="194"/>
      <c r="AI581" s="194"/>
      <c r="AJ581" s="194"/>
      <c r="AK581" s="195"/>
      <c r="AL581" s="164"/>
      <c r="AM581" s="164"/>
      <c r="AN581" s="164"/>
      <c r="AO581" s="164"/>
      <c r="AP581" s="164"/>
      <c r="AQ581" s="164"/>
    </row>
    <row r="582" spans="2:43" x14ac:dyDescent="0.3">
      <c r="B582" s="161"/>
      <c r="C582" s="162"/>
      <c r="D582" s="162"/>
      <c r="E582" s="163"/>
      <c r="F582" s="192"/>
      <c r="G582" s="192"/>
      <c r="H582" s="192"/>
      <c r="I582" s="192"/>
      <c r="J582" s="177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9"/>
      <c r="V582" s="168"/>
      <c r="W582" s="169"/>
      <c r="X582" s="169"/>
      <c r="Y582" s="170"/>
      <c r="Z582" s="193"/>
      <c r="AA582" s="194"/>
      <c r="AB582" s="194"/>
      <c r="AC582" s="194"/>
      <c r="AD582" s="194"/>
      <c r="AE582" s="194"/>
      <c r="AF582" s="194"/>
      <c r="AG582" s="194"/>
      <c r="AH582" s="194"/>
      <c r="AI582" s="194"/>
      <c r="AJ582" s="194"/>
      <c r="AK582" s="195"/>
      <c r="AL582" s="164"/>
      <c r="AM582" s="164"/>
      <c r="AN582" s="164"/>
      <c r="AO582" s="164"/>
      <c r="AP582" s="164"/>
      <c r="AQ582" s="164"/>
    </row>
    <row r="583" spans="2:43" x14ac:dyDescent="0.3">
      <c r="B583" s="161"/>
      <c r="C583" s="162"/>
      <c r="D583" s="162"/>
      <c r="E583" s="163"/>
      <c r="F583" s="192"/>
      <c r="G583" s="192"/>
      <c r="H583" s="192"/>
      <c r="I583" s="192"/>
      <c r="J583" s="177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9"/>
      <c r="V583" s="168"/>
      <c r="W583" s="169"/>
      <c r="X583" s="169"/>
      <c r="Y583" s="170"/>
      <c r="Z583" s="193"/>
      <c r="AA583" s="194"/>
      <c r="AB583" s="194"/>
      <c r="AC583" s="194"/>
      <c r="AD583" s="194"/>
      <c r="AE583" s="194"/>
      <c r="AF583" s="194"/>
      <c r="AG583" s="194"/>
      <c r="AH583" s="194"/>
      <c r="AI583" s="194"/>
      <c r="AJ583" s="194"/>
      <c r="AK583" s="195"/>
      <c r="AL583" s="164"/>
      <c r="AM583" s="164"/>
      <c r="AN583" s="164"/>
      <c r="AO583" s="164"/>
      <c r="AP583" s="164"/>
      <c r="AQ583" s="164"/>
    </row>
    <row r="584" spans="2:43" x14ac:dyDescent="0.3">
      <c r="B584" s="161"/>
      <c r="C584" s="162"/>
      <c r="D584" s="162"/>
      <c r="E584" s="163"/>
      <c r="F584" s="192"/>
      <c r="G584" s="192"/>
      <c r="H584" s="192"/>
      <c r="I584" s="192"/>
      <c r="J584" s="177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9"/>
      <c r="V584" s="168"/>
      <c r="W584" s="169"/>
      <c r="X584" s="169"/>
      <c r="Y584" s="170"/>
      <c r="Z584" s="193"/>
      <c r="AA584" s="194"/>
      <c r="AB584" s="194"/>
      <c r="AC584" s="194"/>
      <c r="AD584" s="194"/>
      <c r="AE584" s="194"/>
      <c r="AF584" s="194"/>
      <c r="AG584" s="194"/>
      <c r="AH584" s="194"/>
      <c r="AI584" s="194"/>
      <c r="AJ584" s="194"/>
      <c r="AK584" s="195"/>
      <c r="AL584" s="164"/>
      <c r="AM584" s="164"/>
      <c r="AN584" s="164"/>
      <c r="AO584" s="164"/>
      <c r="AP584" s="164"/>
      <c r="AQ584" s="164"/>
    </row>
    <row r="585" spans="2:43" x14ac:dyDescent="0.3">
      <c r="B585" s="161"/>
      <c r="C585" s="162"/>
      <c r="D585" s="162"/>
      <c r="E585" s="163"/>
      <c r="F585" s="192"/>
      <c r="G585" s="192"/>
      <c r="H585" s="192"/>
      <c r="I585" s="192"/>
      <c r="J585" s="177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9"/>
      <c r="V585" s="168"/>
      <c r="W585" s="169"/>
      <c r="X585" s="169"/>
      <c r="Y585" s="170"/>
      <c r="Z585" s="193"/>
      <c r="AA585" s="194"/>
      <c r="AB585" s="194"/>
      <c r="AC585" s="194"/>
      <c r="AD585" s="194"/>
      <c r="AE585" s="194"/>
      <c r="AF585" s="194"/>
      <c r="AG585" s="194"/>
      <c r="AH585" s="194"/>
      <c r="AI585" s="194"/>
      <c r="AJ585" s="194"/>
      <c r="AK585" s="195"/>
      <c r="AL585" s="164"/>
      <c r="AM585" s="164"/>
      <c r="AN585" s="164"/>
      <c r="AO585" s="164"/>
      <c r="AP585" s="164"/>
      <c r="AQ585" s="164"/>
    </row>
    <row r="586" spans="2:43" x14ac:dyDescent="0.3">
      <c r="B586" s="161"/>
      <c r="C586" s="162"/>
      <c r="D586" s="162"/>
      <c r="E586" s="163"/>
      <c r="F586" s="192"/>
      <c r="G586" s="192"/>
      <c r="H586" s="192"/>
      <c r="I586" s="192"/>
      <c r="J586" s="180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2"/>
      <c r="V586" s="171"/>
      <c r="W586" s="172"/>
      <c r="X586" s="172"/>
      <c r="Y586" s="173"/>
      <c r="Z586" s="199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  <c r="AK586" s="201"/>
      <c r="AL586" s="164"/>
      <c r="AM586" s="164"/>
      <c r="AN586" s="164"/>
      <c r="AO586" s="164"/>
      <c r="AP586" s="164"/>
      <c r="AQ586" s="164"/>
    </row>
    <row r="587" spans="2:43" x14ac:dyDescent="0.3">
      <c r="B587" s="161"/>
      <c r="C587" s="162"/>
      <c r="D587" s="162"/>
      <c r="E587" s="163"/>
      <c r="F587" s="192"/>
      <c r="G587" s="192"/>
      <c r="H587" s="192"/>
      <c r="I587" s="192"/>
      <c r="J587" s="183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5"/>
      <c r="V587" s="165"/>
      <c r="W587" s="166"/>
      <c r="X587" s="166"/>
      <c r="Y587" s="167"/>
      <c r="Z587" s="196"/>
      <c r="AA587" s="197"/>
      <c r="AB587" s="197"/>
      <c r="AC587" s="197"/>
      <c r="AD587" s="197"/>
      <c r="AE587" s="197"/>
      <c r="AF587" s="197"/>
      <c r="AG587" s="197"/>
      <c r="AH587" s="197"/>
      <c r="AI587" s="197"/>
      <c r="AJ587" s="197"/>
      <c r="AK587" s="198"/>
      <c r="AL587" s="164"/>
      <c r="AM587" s="164"/>
      <c r="AN587" s="164"/>
      <c r="AO587" s="164"/>
      <c r="AP587" s="164"/>
      <c r="AQ587" s="164"/>
    </row>
    <row r="588" spans="2:43" x14ac:dyDescent="0.3">
      <c r="B588" s="161"/>
      <c r="C588" s="162"/>
      <c r="D588" s="162"/>
      <c r="E588" s="163"/>
      <c r="F588" s="192"/>
      <c r="G588" s="192"/>
      <c r="H588" s="192"/>
      <c r="I588" s="192"/>
      <c r="J588" s="186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8"/>
      <c r="V588" s="168"/>
      <c r="W588" s="169"/>
      <c r="X588" s="169"/>
      <c r="Y588" s="170"/>
      <c r="Z588" s="193"/>
      <c r="AA588" s="194"/>
      <c r="AB588" s="194"/>
      <c r="AC588" s="194"/>
      <c r="AD588" s="194"/>
      <c r="AE588" s="194"/>
      <c r="AF588" s="194"/>
      <c r="AG588" s="194"/>
      <c r="AH588" s="194"/>
      <c r="AI588" s="194"/>
      <c r="AJ588" s="194"/>
      <c r="AK588" s="195"/>
      <c r="AL588" s="164"/>
      <c r="AM588" s="164"/>
      <c r="AN588" s="164"/>
      <c r="AO588" s="164"/>
      <c r="AP588" s="164"/>
      <c r="AQ588" s="164"/>
    </row>
    <row r="589" spans="2:43" x14ac:dyDescent="0.3">
      <c r="B589" s="161"/>
      <c r="C589" s="162"/>
      <c r="D589" s="162"/>
      <c r="E589" s="163"/>
      <c r="F589" s="192"/>
      <c r="G589" s="192"/>
      <c r="H589" s="192"/>
      <c r="I589" s="192"/>
      <c r="J589" s="186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8"/>
      <c r="V589" s="168"/>
      <c r="W589" s="169"/>
      <c r="X589" s="169"/>
      <c r="Y589" s="170"/>
      <c r="Z589" s="193"/>
      <c r="AA589" s="194"/>
      <c r="AB589" s="194"/>
      <c r="AC589" s="194"/>
      <c r="AD589" s="194"/>
      <c r="AE589" s="194"/>
      <c r="AF589" s="194"/>
      <c r="AG589" s="194"/>
      <c r="AH589" s="194"/>
      <c r="AI589" s="194"/>
      <c r="AJ589" s="194"/>
      <c r="AK589" s="195"/>
      <c r="AL589" s="164"/>
      <c r="AM589" s="164"/>
      <c r="AN589" s="164"/>
      <c r="AO589" s="164"/>
      <c r="AP589" s="164"/>
      <c r="AQ589" s="164"/>
    </row>
    <row r="590" spans="2:43" x14ac:dyDescent="0.3">
      <c r="B590" s="161"/>
      <c r="C590" s="162"/>
      <c r="D590" s="162"/>
      <c r="E590" s="163"/>
      <c r="F590" s="192"/>
      <c r="G590" s="192"/>
      <c r="H590" s="192"/>
      <c r="I590" s="192"/>
      <c r="J590" s="186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8"/>
      <c r="V590" s="168"/>
      <c r="W590" s="169"/>
      <c r="X590" s="169"/>
      <c r="Y590" s="170"/>
      <c r="Z590" s="193"/>
      <c r="AA590" s="194"/>
      <c r="AB590" s="194"/>
      <c r="AC590" s="194"/>
      <c r="AD590" s="194"/>
      <c r="AE590" s="194"/>
      <c r="AF590" s="194"/>
      <c r="AG590" s="194"/>
      <c r="AH590" s="194"/>
      <c r="AI590" s="194"/>
      <c r="AJ590" s="194"/>
      <c r="AK590" s="195"/>
      <c r="AL590" s="164"/>
      <c r="AM590" s="164"/>
      <c r="AN590" s="164"/>
      <c r="AO590" s="164"/>
      <c r="AP590" s="164"/>
      <c r="AQ590" s="164"/>
    </row>
    <row r="591" spans="2:43" x14ac:dyDescent="0.3">
      <c r="B591" s="161"/>
      <c r="C591" s="162"/>
      <c r="D591" s="162"/>
      <c r="E591" s="163"/>
      <c r="F591" s="192"/>
      <c r="G591" s="192"/>
      <c r="H591" s="192"/>
      <c r="I591" s="192"/>
      <c r="J591" s="186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8"/>
      <c r="V591" s="168"/>
      <c r="W591" s="169"/>
      <c r="X591" s="169"/>
      <c r="Y591" s="170"/>
      <c r="Z591" s="193"/>
      <c r="AA591" s="194"/>
      <c r="AB591" s="194"/>
      <c r="AC591" s="194"/>
      <c r="AD591" s="194"/>
      <c r="AE591" s="194"/>
      <c r="AF591" s="194"/>
      <c r="AG591" s="194"/>
      <c r="AH591" s="194"/>
      <c r="AI591" s="194"/>
      <c r="AJ591" s="194"/>
      <c r="AK591" s="195"/>
      <c r="AL591" s="164"/>
      <c r="AM591" s="164"/>
      <c r="AN591" s="164"/>
      <c r="AO591" s="164"/>
      <c r="AP591" s="164"/>
      <c r="AQ591" s="164"/>
    </row>
    <row r="592" spans="2:43" x14ac:dyDescent="0.3">
      <c r="B592" s="161"/>
      <c r="C592" s="162"/>
      <c r="D592" s="162"/>
      <c r="E592" s="163"/>
      <c r="F592" s="192"/>
      <c r="G592" s="192"/>
      <c r="H592" s="192"/>
      <c r="I592" s="192"/>
      <c r="J592" s="186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8"/>
      <c r="V592" s="168"/>
      <c r="W592" s="169"/>
      <c r="X592" s="169"/>
      <c r="Y592" s="170"/>
      <c r="Z592" s="193"/>
      <c r="AA592" s="194"/>
      <c r="AB592" s="194"/>
      <c r="AC592" s="194"/>
      <c r="AD592" s="194"/>
      <c r="AE592" s="194"/>
      <c r="AF592" s="194"/>
      <c r="AG592" s="194"/>
      <c r="AH592" s="194"/>
      <c r="AI592" s="194"/>
      <c r="AJ592" s="194"/>
      <c r="AK592" s="195"/>
      <c r="AL592" s="164"/>
      <c r="AM592" s="164"/>
      <c r="AN592" s="164"/>
      <c r="AO592" s="164"/>
      <c r="AP592" s="164"/>
      <c r="AQ592" s="164"/>
    </row>
    <row r="593" spans="2:43" x14ac:dyDescent="0.3">
      <c r="B593" s="161"/>
      <c r="C593" s="162"/>
      <c r="D593" s="162"/>
      <c r="E593" s="163"/>
      <c r="F593" s="192"/>
      <c r="G593" s="192"/>
      <c r="H593" s="192"/>
      <c r="I593" s="192"/>
      <c r="J593" s="186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8"/>
      <c r="V593" s="168"/>
      <c r="W593" s="169"/>
      <c r="X593" s="169"/>
      <c r="Y593" s="170"/>
      <c r="Z593" s="193"/>
      <c r="AA593" s="194"/>
      <c r="AB593" s="194"/>
      <c r="AC593" s="194"/>
      <c r="AD593" s="194"/>
      <c r="AE593" s="194"/>
      <c r="AF593" s="194"/>
      <c r="AG593" s="194"/>
      <c r="AH593" s="194"/>
      <c r="AI593" s="194"/>
      <c r="AJ593" s="194"/>
      <c r="AK593" s="195"/>
      <c r="AL593" s="164"/>
      <c r="AM593" s="164"/>
      <c r="AN593" s="164"/>
      <c r="AO593" s="164"/>
      <c r="AP593" s="164"/>
      <c r="AQ593" s="164"/>
    </row>
    <row r="594" spans="2:43" x14ac:dyDescent="0.3">
      <c r="B594" s="161"/>
      <c r="C594" s="162"/>
      <c r="D594" s="162"/>
      <c r="E594" s="163"/>
      <c r="F594" s="192"/>
      <c r="G594" s="192"/>
      <c r="H594" s="192"/>
      <c r="I594" s="192"/>
      <c r="J594" s="189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1"/>
      <c r="V594" s="171"/>
      <c r="W594" s="172"/>
      <c r="X594" s="172"/>
      <c r="Y594" s="173"/>
      <c r="Z594" s="199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  <c r="AK594" s="201"/>
      <c r="AL594" s="164"/>
      <c r="AM594" s="164"/>
      <c r="AN594" s="164"/>
      <c r="AO594" s="164"/>
      <c r="AP594" s="164"/>
      <c r="AQ594" s="164"/>
    </row>
    <row r="595" spans="2:43" x14ac:dyDescent="0.3">
      <c r="B595" s="161"/>
      <c r="C595" s="162"/>
      <c r="D595" s="162"/>
      <c r="E595" s="163"/>
      <c r="F595" s="192"/>
      <c r="G595" s="192"/>
      <c r="H595" s="192"/>
      <c r="I595" s="192"/>
      <c r="J595" s="183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5"/>
      <c r="V595" s="165"/>
      <c r="W595" s="166"/>
      <c r="X595" s="166"/>
      <c r="Y595" s="167"/>
      <c r="Z595" s="196"/>
      <c r="AA595" s="197"/>
      <c r="AB595" s="197"/>
      <c r="AC595" s="197"/>
      <c r="AD595" s="197"/>
      <c r="AE595" s="197"/>
      <c r="AF595" s="197"/>
      <c r="AG595" s="197"/>
      <c r="AH595" s="197"/>
      <c r="AI595" s="197"/>
      <c r="AJ595" s="197"/>
      <c r="AK595" s="198"/>
      <c r="AL595" s="164"/>
      <c r="AM595" s="164"/>
      <c r="AN595" s="164"/>
      <c r="AO595" s="164"/>
      <c r="AP595" s="164"/>
      <c r="AQ595" s="164"/>
    </row>
    <row r="596" spans="2:43" x14ac:dyDescent="0.3">
      <c r="B596" s="161"/>
      <c r="C596" s="162"/>
      <c r="D596" s="162"/>
      <c r="E596" s="163"/>
      <c r="F596" s="192"/>
      <c r="G596" s="192"/>
      <c r="H596" s="192"/>
      <c r="I596" s="192"/>
      <c r="J596" s="186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8"/>
      <c r="V596" s="168"/>
      <c r="W596" s="169"/>
      <c r="X596" s="169"/>
      <c r="Y596" s="170"/>
      <c r="Z596" s="193"/>
      <c r="AA596" s="194"/>
      <c r="AB596" s="194"/>
      <c r="AC596" s="194"/>
      <c r="AD596" s="194"/>
      <c r="AE596" s="194"/>
      <c r="AF596" s="194"/>
      <c r="AG596" s="194"/>
      <c r="AH596" s="194"/>
      <c r="AI596" s="194"/>
      <c r="AJ596" s="194"/>
      <c r="AK596" s="195"/>
      <c r="AL596" s="164"/>
      <c r="AM596" s="164"/>
      <c r="AN596" s="164"/>
      <c r="AO596" s="164"/>
      <c r="AP596" s="164"/>
      <c r="AQ596" s="164"/>
    </row>
    <row r="597" spans="2:43" x14ac:dyDescent="0.3">
      <c r="B597" s="161"/>
      <c r="C597" s="162"/>
      <c r="D597" s="162"/>
      <c r="E597" s="163"/>
      <c r="F597" s="192"/>
      <c r="G597" s="192"/>
      <c r="H597" s="192"/>
      <c r="I597" s="192"/>
      <c r="J597" s="186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8"/>
      <c r="V597" s="168"/>
      <c r="W597" s="169"/>
      <c r="X597" s="169"/>
      <c r="Y597" s="170"/>
      <c r="Z597" s="193"/>
      <c r="AA597" s="194"/>
      <c r="AB597" s="194"/>
      <c r="AC597" s="194"/>
      <c r="AD597" s="194"/>
      <c r="AE597" s="194"/>
      <c r="AF597" s="194"/>
      <c r="AG597" s="194"/>
      <c r="AH597" s="194"/>
      <c r="AI597" s="194"/>
      <c r="AJ597" s="194"/>
      <c r="AK597" s="195"/>
      <c r="AL597" s="164"/>
      <c r="AM597" s="164"/>
      <c r="AN597" s="164"/>
      <c r="AO597" s="164"/>
      <c r="AP597" s="164"/>
      <c r="AQ597" s="164"/>
    </row>
    <row r="598" spans="2:43" x14ac:dyDescent="0.3">
      <c r="B598" s="161"/>
      <c r="C598" s="162"/>
      <c r="D598" s="162"/>
      <c r="E598" s="163"/>
      <c r="F598" s="192"/>
      <c r="G598" s="192"/>
      <c r="H598" s="192"/>
      <c r="I598" s="192"/>
      <c r="J598" s="186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8"/>
      <c r="V598" s="168"/>
      <c r="W598" s="169"/>
      <c r="X598" s="169"/>
      <c r="Y598" s="170"/>
      <c r="Z598" s="193"/>
      <c r="AA598" s="194"/>
      <c r="AB598" s="194"/>
      <c r="AC598" s="194"/>
      <c r="AD598" s="194"/>
      <c r="AE598" s="194"/>
      <c r="AF598" s="194"/>
      <c r="AG598" s="194"/>
      <c r="AH598" s="194"/>
      <c r="AI598" s="194"/>
      <c r="AJ598" s="194"/>
      <c r="AK598" s="195"/>
      <c r="AL598" s="164"/>
      <c r="AM598" s="164"/>
      <c r="AN598" s="164"/>
      <c r="AO598" s="164"/>
      <c r="AP598" s="164"/>
      <c r="AQ598" s="164"/>
    </row>
    <row r="599" spans="2:43" x14ac:dyDescent="0.3">
      <c r="B599" s="161"/>
      <c r="C599" s="162"/>
      <c r="D599" s="162"/>
      <c r="E599" s="163"/>
      <c r="F599" s="192"/>
      <c r="G599" s="192"/>
      <c r="H599" s="192"/>
      <c r="I599" s="192"/>
      <c r="J599" s="186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8"/>
      <c r="V599" s="168"/>
      <c r="W599" s="169"/>
      <c r="X599" s="169"/>
      <c r="Y599" s="170"/>
      <c r="Z599" s="193"/>
      <c r="AA599" s="194"/>
      <c r="AB599" s="194"/>
      <c r="AC599" s="194"/>
      <c r="AD599" s="194"/>
      <c r="AE599" s="194"/>
      <c r="AF599" s="194"/>
      <c r="AG599" s="194"/>
      <c r="AH599" s="194"/>
      <c r="AI599" s="194"/>
      <c r="AJ599" s="194"/>
      <c r="AK599" s="195"/>
      <c r="AL599" s="164"/>
      <c r="AM599" s="164"/>
      <c r="AN599" s="164"/>
      <c r="AO599" s="164"/>
      <c r="AP599" s="164"/>
      <c r="AQ599" s="164"/>
    </row>
    <row r="600" spans="2:43" x14ac:dyDescent="0.3">
      <c r="B600" s="161"/>
      <c r="C600" s="162"/>
      <c r="D600" s="162"/>
      <c r="E600" s="163"/>
      <c r="F600" s="192"/>
      <c r="G600" s="192"/>
      <c r="H600" s="192"/>
      <c r="I600" s="192"/>
      <c r="J600" s="186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8"/>
      <c r="V600" s="168"/>
      <c r="W600" s="169"/>
      <c r="X600" s="169"/>
      <c r="Y600" s="170"/>
      <c r="Z600" s="193"/>
      <c r="AA600" s="194"/>
      <c r="AB600" s="194"/>
      <c r="AC600" s="194"/>
      <c r="AD600" s="194"/>
      <c r="AE600" s="194"/>
      <c r="AF600" s="194"/>
      <c r="AG600" s="194"/>
      <c r="AH600" s="194"/>
      <c r="AI600" s="194"/>
      <c r="AJ600" s="194"/>
      <c r="AK600" s="195"/>
      <c r="AL600" s="164"/>
      <c r="AM600" s="164"/>
      <c r="AN600" s="164"/>
      <c r="AO600" s="164"/>
      <c r="AP600" s="164"/>
      <c r="AQ600" s="164"/>
    </row>
    <row r="601" spans="2:43" x14ac:dyDescent="0.3">
      <c r="B601" s="161"/>
      <c r="C601" s="162"/>
      <c r="D601" s="162"/>
      <c r="E601" s="163"/>
      <c r="F601" s="192"/>
      <c r="G601" s="192"/>
      <c r="H601" s="192"/>
      <c r="I601" s="192"/>
      <c r="J601" s="186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8"/>
      <c r="V601" s="168"/>
      <c r="W601" s="169"/>
      <c r="X601" s="169"/>
      <c r="Y601" s="170"/>
      <c r="Z601" s="193"/>
      <c r="AA601" s="194"/>
      <c r="AB601" s="194"/>
      <c r="AC601" s="194"/>
      <c r="AD601" s="194"/>
      <c r="AE601" s="194"/>
      <c r="AF601" s="194"/>
      <c r="AG601" s="194"/>
      <c r="AH601" s="194"/>
      <c r="AI601" s="194"/>
      <c r="AJ601" s="194"/>
      <c r="AK601" s="195"/>
      <c r="AL601" s="164"/>
      <c r="AM601" s="164"/>
      <c r="AN601" s="164"/>
      <c r="AO601" s="164"/>
      <c r="AP601" s="164"/>
      <c r="AQ601" s="164"/>
    </row>
    <row r="602" spans="2:43" x14ac:dyDescent="0.3">
      <c r="B602" s="161"/>
      <c r="C602" s="162"/>
      <c r="D602" s="162"/>
      <c r="E602" s="163"/>
      <c r="F602" s="192"/>
      <c r="G602" s="192"/>
      <c r="H602" s="192"/>
      <c r="I602" s="192"/>
      <c r="J602" s="189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1"/>
      <c r="V602" s="171"/>
      <c r="W602" s="172"/>
      <c r="X602" s="172"/>
      <c r="Y602" s="173"/>
      <c r="Z602" s="199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  <c r="AK602" s="201"/>
      <c r="AL602" s="164"/>
      <c r="AM602" s="164"/>
      <c r="AN602" s="164"/>
      <c r="AO602" s="164"/>
      <c r="AP602" s="164"/>
      <c r="AQ602" s="164"/>
    </row>
    <row r="603" spans="2:43" x14ac:dyDescent="0.3">
      <c r="B603" s="161"/>
      <c r="C603" s="162"/>
      <c r="D603" s="162"/>
      <c r="E603" s="163"/>
      <c r="F603" s="192"/>
      <c r="G603" s="192"/>
      <c r="H603" s="192"/>
      <c r="I603" s="192"/>
      <c r="J603" s="183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5"/>
      <c r="V603" s="165"/>
      <c r="W603" s="166"/>
      <c r="X603" s="166"/>
      <c r="Y603" s="167"/>
      <c r="Z603" s="196"/>
      <c r="AA603" s="197"/>
      <c r="AB603" s="197"/>
      <c r="AC603" s="197"/>
      <c r="AD603" s="197"/>
      <c r="AE603" s="197"/>
      <c r="AF603" s="197"/>
      <c r="AG603" s="197"/>
      <c r="AH603" s="197"/>
      <c r="AI603" s="197"/>
      <c r="AJ603" s="197"/>
      <c r="AK603" s="198"/>
      <c r="AL603" s="164"/>
      <c r="AM603" s="164"/>
      <c r="AN603" s="164"/>
      <c r="AO603" s="164"/>
      <c r="AP603" s="164"/>
      <c r="AQ603" s="164"/>
    </row>
    <row r="604" spans="2:43" x14ac:dyDescent="0.3">
      <c r="B604" s="161"/>
      <c r="C604" s="162"/>
      <c r="D604" s="162"/>
      <c r="E604" s="163"/>
      <c r="F604" s="192"/>
      <c r="G604" s="192"/>
      <c r="H604" s="192"/>
      <c r="I604" s="192"/>
      <c r="J604" s="186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8"/>
      <c r="V604" s="168"/>
      <c r="W604" s="169"/>
      <c r="X604" s="169"/>
      <c r="Y604" s="170"/>
      <c r="Z604" s="193"/>
      <c r="AA604" s="194"/>
      <c r="AB604" s="194"/>
      <c r="AC604" s="194"/>
      <c r="AD604" s="194"/>
      <c r="AE604" s="194"/>
      <c r="AF604" s="194"/>
      <c r="AG604" s="194"/>
      <c r="AH604" s="194"/>
      <c r="AI604" s="194"/>
      <c r="AJ604" s="194"/>
      <c r="AK604" s="195"/>
      <c r="AL604" s="164"/>
      <c r="AM604" s="164"/>
      <c r="AN604" s="164"/>
      <c r="AO604" s="164"/>
      <c r="AP604" s="164"/>
      <c r="AQ604" s="164"/>
    </row>
    <row r="605" spans="2:43" x14ac:dyDescent="0.3">
      <c r="B605" s="161"/>
      <c r="C605" s="162"/>
      <c r="D605" s="162"/>
      <c r="E605" s="163"/>
      <c r="F605" s="192"/>
      <c r="G605" s="192"/>
      <c r="H605" s="192"/>
      <c r="I605" s="192"/>
      <c r="J605" s="186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8"/>
      <c r="V605" s="168"/>
      <c r="W605" s="169"/>
      <c r="X605" s="169"/>
      <c r="Y605" s="170"/>
      <c r="Z605" s="193"/>
      <c r="AA605" s="194"/>
      <c r="AB605" s="194"/>
      <c r="AC605" s="194"/>
      <c r="AD605" s="194"/>
      <c r="AE605" s="194"/>
      <c r="AF605" s="194"/>
      <c r="AG605" s="194"/>
      <c r="AH605" s="194"/>
      <c r="AI605" s="194"/>
      <c r="AJ605" s="194"/>
      <c r="AK605" s="195"/>
      <c r="AL605" s="164"/>
      <c r="AM605" s="164"/>
      <c r="AN605" s="164"/>
      <c r="AO605" s="164"/>
      <c r="AP605" s="164"/>
      <c r="AQ605" s="164"/>
    </row>
    <row r="606" spans="2:43" x14ac:dyDescent="0.3">
      <c r="B606" s="161"/>
      <c r="C606" s="162"/>
      <c r="D606" s="162"/>
      <c r="E606" s="163"/>
      <c r="F606" s="192"/>
      <c r="G606" s="192"/>
      <c r="H606" s="192"/>
      <c r="I606" s="192"/>
      <c r="J606" s="186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8"/>
      <c r="V606" s="168"/>
      <c r="W606" s="169"/>
      <c r="X606" s="169"/>
      <c r="Y606" s="170"/>
      <c r="Z606" s="193"/>
      <c r="AA606" s="194"/>
      <c r="AB606" s="194"/>
      <c r="AC606" s="194"/>
      <c r="AD606" s="194"/>
      <c r="AE606" s="194"/>
      <c r="AF606" s="194"/>
      <c r="AG606" s="194"/>
      <c r="AH606" s="194"/>
      <c r="AI606" s="194"/>
      <c r="AJ606" s="194"/>
      <c r="AK606" s="195"/>
      <c r="AL606" s="164"/>
      <c r="AM606" s="164"/>
      <c r="AN606" s="164"/>
      <c r="AO606" s="164"/>
      <c r="AP606" s="164"/>
      <c r="AQ606" s="164"/>
    </row>
    <row r="607" spans="2:43" x14ac:dyDescent="0.3">
      <c r="B607" s="161"/>
      <c r="C607" s="162"/>
      <c r="D607" s="162"/>
      <c r="E607" s="163"/>
      <c r="F607" s="192"/>
      <c r="G607" s="192"/>
      <c r="H607" s="192"/>
      <c r="I607" s="192"/>
      <c r="J607" s="186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8"/>
      <c r="V607" s="168"/>
      <c r="W607" s="169"/>
      <c r="X607" s="169"/>
      <c r="Y607" s="170"/>
      <c r="Z607" s="193"/>
      <c r="AA607" s="194"/>
      <c r="AB607" s="194"/>
      <c r="AC607" s="194"/>
      <c r="AD607" s="194"/>
      <c r="AE607" s="194"/>
      <c r="AF607" s="194"/>
      <c r="AG607" s="194"/>
      <c r="AH607" s="194"/>
      <c r="AI607" s="194"/>
      <c r="AJ607" s="194"/>
      <c r="AK607" s="195"/>
      <c r="AL607" s="164"/>
      <c r="AM607" s="164"/>
      <c r="AN607" s="164"/>
      <c r="AO607" s="164"/>
      <c r="AP607" s="164"/>
      <c r="AQ607" s="164"/>
    </row>
    <row r="608" spans="2:43" x14ac:dyDescent="0.3">
      <c r="B608" s="161"/>
      <c r="C608" s="162"/>
      <c r="D608" s="162"/>
      <c r="E608" s="163"/>
      <c r="F608" s="192"/>
      <c r="G608" s="192"/>
      <c r="H608" s="192"/>
      <c r="I608" s="192"/>
      <c r="J608" s="186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8"/>
      <c r="V608" s="168"/>
      <c r="W608" s="169"/>
      <c r="X608" s="169"/>
      <c r="Y608" s="170"/>
      <c r="Z608" s="193"/>
      <c r="AA608" s="194"/>
      <c r="AB608" s="194"/>
      <c r="AC608" s="194"/>
      <c r="AD608" s="194"/>
      <c r="AE608" s="194"/>
      <c r="AF608" s="194"/>
      <c r="AG608" s="194"/>
      <c r="AH608" s="194"/>
      <c r="AI608" s="194"/>
      <c r="AJ608" s="194"/>
      <c r="AK608" s="195"/>
      <c r="AL608" s="164"/>
      <c r="AM608" s="164"/>
      <c r="AN608" s="164"/>
      <c r="AO608" s="164"/>
      <c r="AP608" s="164"/>
      <c r="AQ608" s="164"/>
    </row>
    <row r="609" spans="2:43" x14ac:dyDescent="0.3">
      <c r="B609" s="161"/>
      <c r="C609" s="162"/>
      <c r="D609" s="162"/>
      <c r="E609" s="163"/>
      <c r="F609" s="192"/>
      <c r="G609" s="192"/>
      <c r="H609" s="192"/>
      <c r="I609" s="192"/>
      <c r="J609" s="186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8"/>
      <c r="V609" s="168"/>
      <c r="W609" s="169"/>
      <c r="X609" s="169"/>
      <c r="Y609" s="170"/>
      <c r="Z609" s="193"/>
      <c r="AA609" s="194"/>
      <c r="AB609" s="194"/>
      <c r="AC609" s="194"/>
      <c r="AD609" s="194"/>
      <c r="AE609" s="194"/>
      <c r="AF609" s="194"/>
      <c r="AG609" s="194"/>
      <c r="AH609" s="194"/>
      <c r="AI609" s="194"/>
      <c r="AJ609" s="194"/>
      <c r="AK609" s="195"/>
      <c r="AL609" s="164"/>
      <c r="AM609" s="164"/>
      <c r="AN609" s="164"/>
      <c r="AO609" s="164"/>
      <c r="AP609" s="164"/>
      <c r="AQ609" s="164"/>
    </row>
    <row r="610" spans="2:43" x14ac:dyDescent="0.3">
      <c r="B610" s="161"/>
      <c r="C610" s="162"/>
      <c r="D610" s="162"/>
      <c r="E610" s="163"/>
      <c r="F610" s="192"/>
      <c r="G610" s="192"/>
      <c r="H610" s="192"/>
      <c r="I610" s="192"/>
      <c r="J610" s="189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1"/>
      <c r="V610" s="171"/>
      <c r="W610" s="172"/>
      <c r="X610" s="172"/>
      <c r="Y610" s="173"/>
      <c r="Z610" s="199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  <c r="AK610" s="201"/>
      <c r="AL610" s="164"/>
      <c r="AM610" s="164"/>
      <c r="AN610" s="164"/>
      <c r="AO610" s="164"/>
      <c r="AP610" s="164"/>
      <c r="AQ610" s="164"/>
    </row>
    <row r="611" spans="2:43" x14ac:dyDescent="0.3">
      <c r="B611" s="161"/>
      <c r="C611" s="162"/>
      <c r="D611" s="162"/>
      <c r="E611" s="163"/>
      <c r="F611" s="192"/>
      <c r="G611" s="192"/>
      <c r="H611" s="192"/>
      <c r="I611" s="192"/>
      <c r="J611" s="183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5"/>
      <c r="V611" s="165"/>
      <c r="W611" s="166"/>
      <c r="X611" s="166"/>
      <c r="Y611" s="167"/>
      <c r="Z611" s="196"/>
      <c r="AA611" s="197"/>
      <c r="AB611" s="197"/>
      <c r="AC611" s="197"/>
      <c r="AD611" s="197"/>
      <c r="AE611" s="197"/>
      <c r="AF611" s="197"/>
      <c r="AG611" s="197"/>
      <c r="AH611" s="197"/>
      <c r="AI611" s="197"/>
      <c r="AJ611" s="197"/>
      <c r="AK611" s="198"/>
      <c r="AL611" s="164"/>
      <c r="AM611" s="164"/>
      <c r="AN611" s="164"/>
      <c r="AO611" s="164"/>
      <c r="AP611" s="164"/>
      <c r="AQ611" s="164"/>
    </row>
    <row r="612" spans="2:43" x14ac:dyDescent="0.3">
      <c r="B612" s="161"/>
      <c r="C612" s="162"/>
      <c r="D612" s="162"/>
      <c r="E612" s="163"/>
      <c r="F612" s="192"/>
      <c r="G612" s="192"/>
      <c r="H612" s="192"/>
      <c r="I612" s="192"/>
      <c r="J612" s="186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8"/>
      <c r="V612" s="168"/>
      <c r="W612" s="169"/>
      <c r="X612" s="169"/>
      <c r="Y612" s="170"/>
      <c r="Z612" s="193"/>
      <c r="AA612" s="194"/>
      <c r="AB612" s="194"/>
      <c r="AC612" s="194"/>
      <c r="AD612" s="194"/>
      <c r="AE612" s="194"/>
      <c r="AF612" s="194"/>
      <c r="AG612" s="194"/>
      <c r="AH612" s="194"/>
      <c r="AI612" s="194"/>
      <c r="AJ612" s="194"/>
      <c r="AK612" s="195"/>
      <c r="AL612" s="164"/>
      <c r="AM612" s="164"/>
      <c r="AN612" s="164"/>
      <c r="AO612" s="164"/>
      <c r="AP612" s="164"/>
      <c r="AQ612" s="164"/>
    </row>
    <row r="613" spans="2:43" x14ac:dyDescent="0.3">
      <c r="B613" s="161"/>
      <c r="C613" s="162"/>
      <c r="D613" s="162"/>
      <c r="E613" s="163"/>
      <c r="F613" s="192"/>
      <c r="G613" s="192"/>
      <c r="H613" s="192"/>
      <c r="I613" s="192"/>
      <c r="J613" s="186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8"/>
      <c r="V613" s="168"/>
      <c r="W613" s="169"/>
      <c r="X613" s="169"/>
      <c r="Y613" s="170"/>
      <c r="Z613" s="193"/>
      <c r="AA613" s="194"/>
      <c r="AB613" s="194"/>
      <c r="AC613" s="194"/>
      <c r="AD613" s="194"/>
      <c r="AE613" s="194"/>
      <c r="AF613" s="194"/>
      <c r="AG613" s="194"/>
      <c r="AH613" s="194"/>
      <c r="AI613" s="194"/>
      <c r="AJ613" s="194"/>
      <c r="AK613" s="195"/>
      <c r="AL613" s="164"/>
      <c r="AM613" s="164"/>
      <c r="AN613" s="164"/>
      <c r="AO613" s="164"/>
      <c r="AP613" s="164"/>
      <c r="AQ613" s="164"/>
    </row>
    <row r="614" spans="2:43" x14ac:dyDescent="0.3">
      <c r="B614" s="161"/>
      <c r="C614" s="162"/>
      <c r="D614" s="162"/>
      <c r="E614" s="163"/>
      <c r="F614" s="192"/>
      <c r="G614" s="192"/>
      <c r="H614" s="192"/>
      <c r="I614" s="192"/>
      <c r="J614" s="186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8"/>
      <c r="V614" s="168"/>
      <c r="W614" s="169"/>
      <c r="X614" s="169"/>
      <c r="Y614" s="170"/>
      <c r="Z614" s="193"/>
      <c r="AA614" s="194"/>
      <c r="AB614" s="194"/>
      <c r="AC614" s="194"/>
      <c r="AD614" s="194"/>
      <c r="AE614" s="194"/>
      <c r="AF614" s="194"/>
      <c r="AG614" s="194"/>
      <c r="AH614" s="194"/>
      <c r="AI614" s="194"/>
      <c r="AJ614" s="194"/>
      <c r="AK614" s="195"/>
      <c r="AL614" s="164"/>
      <c r="AM614" s="164"/>
      <c r="AN614" s="164"/>
      <c r="AO614" s="164"/>
      <c r="AP614" s="164"/>
      <c r="AQ614" s="164"/>
    </row>
    <row r="615" spans="2:43" x14ac:dyDescent="0.3">
      <c r="B615" s="161"/>
      <c r="C615" s="162"/>
      <c r="D615" s="162"/>
      <c r="E615" s="163"/>
      <c r="F615" s="192"/>
      <c r="G615" s="192"/>
      <c r="H615" s="192"/>
      <c r="I615" s="192"/>
      <c r="J615" s="186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8"/>
      <c r="V615" s="168"/>
      <c r="W615" s="169"/>
      <c r="X615" s="169"/>
      <c r="Y615" s="170"/>
      <c r="Z615" s="193"/>
      <c r="AA615" s="194"/>
      <c r="AB615" s="194"/>
      <c r="AC615" s="194"/>
      <c r="AD615" s="194"/>
      <c r="AE615" s="194"/>
      <c r="AF615" s="194"/>
      <c r="AG615" s="194"/>
      <c r="AH615" s="194"/>
      <c r="AI615" s="194"/>
      <c r="AJ615" s="194"/>
      <c r="AK615" s="195"/>
      <c r="AL615" s="164"/>
      <c r="AM615" s="164"/>
      <c r="AN615" s="164"/>
      <c r="AO615" s="164"/>
      <c r="AP615" s="164"/>
      <c r="AQ615" s="164"/>
    </row>
    <row r="616" spans="2:43" x14ac:dyDescent="0.3">
      <c r="B616" s="161"/>
      <c r="C616" s="162"/>
      <c r="D616" s="162"/>
      <c r="E616" s="163"/>
      <c r="F616" s="192"/>
      <c r="G616" s="192"/>
      <c r="H616" s="192"/>
      <c r="I616" s="192"/>
      <c r="J616" s="186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8"/>
      <c r="V616" s="168"/>
      <c r="W616" s="169"/>
      <c r="X616" s="169"/>
      <c r="Y616" s="170"/>
      <c r="Z616" s="193"/>
      <c r="AA616" s="194"/>
      <c r="AB616" s="194"/>
      <c r="AC616" s="194"/>
      <c r="AD616" s="194"/>
      <c r="AE616" s="194"/>
      <c r="AF616" s="194"/>
      <c r="AG616" s="194"/>
      <c r="AH616" s="194"/>
      <c r="AI616" s="194"/>
      <c r="AJ616" s="194"/>
      <c r="AK616" s="195"/>
      <c r="AL616" s="164"/>
      <c r="AM616" s="164"/>
      <c r="AN616" s="164"/>
      <c r="AO616" s="164"/>
      <c r="AP616" s="164"/>
      <c r="AQ616" s="164"/>
    </row>
    <row r="617" spans="2:43" x14ac:dyDescent="0.3">
      <c r="B617" s="161"/>
      <c r="C617" s="162"/>
      <c r="D617" s="162"/>
      <c r="E617" s="163"/>
      <c r="F617" s="192"/>
      <c r="G617" s="192"/>
      <c r="H617" s="192"/>
      <c r="I617" s="192"/>
      <c r="J617" s="186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8"/>
      <c r="V617" s="168"/>
      <c r="W617" s="169"/>
      <c r="X617" s="169"/>
      <c r="Y617" s="170"/>
      <c r="Z617" s="193"/>
      <c r="AA617" s="194"/>
      <c r="AB617" s="194"/>
      <c r="AC617" s="194"/>
      <c r="AD617" s="194"/>
      <c r="AE617" s="194"/>
      <c r="AF617" s="194"/>
      <c r="AG617" s="194"/>
      <c r="AH617" s="194"/>
      <c r="AI617" s="194"/>
      <c r="AJ617" s="194"/>
      <c r="AK617" s="195"/>
      <c r="AL617" s="164"/>
      <c r="AM617" s="164"/>
      <c r="AN617" s="164"/>
      <c r="AO617" s="164"/>
      <c r="AP617" s="164"/>
      <c r="AQ617" s="164"/>
    </row>
    <row r="618" spans="2:43" x14ac:dyDescent="0.3">
      <c r="B618" s="161"/>
      <c r="C618" s="162"/>
      <c r="D618" s="162"/>
      <c r="E618" s="163"/>
      <c r="F618" s="192"/>
      <c r="G618" s="192"/>
      <c r="H618" s="192"/>
      <c r="I618" s="192"/>
      <c r="J618" s="189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1"/>
      <c r="V618" s="171"/>
      <c r="W618" s="172"/>
      <c r="X618" s="172"/>
      <c r="Y618" s="173"/>
      <c r="Z618" s="199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  <c r="AK618" s="201"/>
      <c r="AL618" s="164"/>
      <c r="AM618" s="164"/>
      <c r="AN618" s="164"/>
      <c r="AO618" s="164"/>
      <c r="AP618" s="164"/>
      <c r="AQ618" s="164"/>
    </row>
    <row r="619" spans="2:43" x14ac:dyDescent="0.3">
      <c r="B619" s="161"/>
      <c r="C619" s="162"/>
      <c r="D619" s="162"/>
      <c r="E619" s="163"/>
      <c r="F619" s="192"/>
      <c r="G619" s="192"/>
      <c r="H619" s="192"/>
      <c r="I619" s="192"/>
      <c r="J619" s="183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5"/>
      <c r="V619" s="165"/>
      <c r="W619" s="166"/>
      <c r="X619" s="166"/>
      <c r="Y619" s="167"/>
      <c r="Z619" s="196"/>
      <c r="AA619" s="197"/>
      <c r="AB619" s="197"/>
      <c r="AC619" s="197"/>
      <c r="AD619" s="197"/>
      <c r="AE619" s="197"/>
      <c r="AF619" s="197"/>
      <c r="AG619" s="197"/>
      <c r="AH619" s="197"/>
      <c r="AI619" s="197"/>
      <c r="AJ619" s="197"/>
      <c r="AK619" s="198"/>
      <c r="AL619" s="164"/>
      <c r="AM619" s="164"/>
      <c r="AN619" s="164"/>
      <c r="AO619" s="164"/>
      <c r="AP619" s="164"/>
      <c r="AQ619" s="164"/>
    </row>
    <row r="620" spans="2:43" x14ac:dyDescent="0.3">
      <c r="B620" s="161"/>
      <c r="C620" s="162"/>
      <c r="D620" s="162"/>
      <c r="E620" s="163"/>
      <c r="F620" s="192"/>
      <c r="G620" s="192"/>
      <c r="H620" s="192"/>
      <c r="I620" s="192"/>
      <c r="J620" s="186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8"/>
      <c r="V620" s="168"/>
      <c r="W620" s="169"/>
      <c r="X620" s="169"/>
      <c r="Y620" s="170"/>
      <c r="Z620" s="193"/>
      <c r="AA620" s="194"/>
      <c r="AB620" s="194"/>
      <c r="AC620" s="194"/>
      <c r="AD620" s="194"/>
      <c r="AE620" s="194"/>
      <c r="AF620" s="194"/>
      <c r="AG620" s="194"/>
      <c r="AH620" s="194"/>
      <c r="AI620" s="194"/>
      <c r="AJ620" s="194"/>
      <c r="AK620" s="195"/>
      <c r="AL620" s="164"/>
      <c r="AM620" s="164"/>
      <c r="AN620" s="164"/>
      <c r="AO620" s="164"/>
      <c r="AP620" s="164"/>
      <c r="AQ620" s="164"/>
    </row>
    <row r="621" spans="2:43" x14ac:dyDescent="0.3">
      <c r="B621" s="161"/>
      <c r="C621" s="162"/>
      <c r="D621" s="162"/>
      <c r="E621" s="163"/>
      <c r="F621" s="192"/>
      <c r="G621" s="192"/>
      <c r="H621" s="192"/>
      <c r="I621" s="192"/>
      <c r="J621" s="186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8"/>
      <c r="V621" s="168"/>
      <c r="W621" s="169"/>
      <c r="X621" s="169"/>
      <c r="Y621" s="170"/>
      <c r="Z621" s="193"/>
      <c r="AA621" s="194"/>
      <c r="AB621" s="194"/>
      <c r="AC621" s="194"/>
      <c r="AD621" s="194"/>
      <c r="AE621" s="194"/>
      <c r="AF621" s="194"/>
      <c r="AG621" s="194"/>
      <c r="AH621" s="194"/>
      <c r="AI621" s="194"/>
      <c r="AJ621" s="194"/>
      <c r="AK621" s="195"/>
      <c r="AL621" s="164"/>
      <c r="AM621" s="164"/>
      <c r="AN621" s="164"/>
      <c r="AO621" s="164"/>
      <c r="AP621" s="164"/>
      <c r="AQ621" s="164"/>
    </row>
    <row r="622" spans="2:43" x14ac:dyDescent="0.3">
      <c r="B622" s="161"/>
      <c r="C622" s="162"/>
      <c r="D622" s="162"/>
      <c r="E622" s="163"/>
      <c r="F622" s="192"/>
      <c r="G622" s="192"/>
      <c r="H622" s="192"/>
      <c r="I622" s="192"/>
      <c r="J622" s="186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8"/>
      <c r="V622" s="168"/>
      <c r="W622" s="169"/>
      <c r="X622" s="169"/>
      <c r="Y622" s="170"/>
      <c r="Z622" s="193"/>
      <c r="AA622" s="194"/>
      <c r="AB622" s="194"/>
      <c r="AC622" s="194"/>
      <c r="AD622" s="194"/>
      <c r="AE622" s="194"/>
      <c r="AF622" s="194"/>
      <c r="AG622" s="194"/>
      <c r="AH622" s="194"/>
      <c r="AI622" s="194"/>
      <c r="AJ622" s="194"/>
      <c r="AK622" s="195"/>
      <c r="AL622" s="164"/>
      <c r="AM622" s="164"/>
      <c r="AN622" s="164"/>
      <c r="AO622" s="164"/>
      <c r="AP622" s="164"/>
      <c r="AQ622" s="164"/>
    </row>
    <row r="623" spans="2:43" x14ac:dyDescent="0.3">
      <c r="B623" s="161"/>
      <c r="C623" s="162"/>
      <c r="D623" s="162"/>
      <c r="E623" s="163"/>
      <c r="F623" s="192"/>
      <c r="G623" s="192"/>
      <c r="H623" s="192"/>
      <c r="I623" s="192"/>
      <c r="J623" s="186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8"/>
      <c r="V623" s="168"/>
      <c r="W623" s="169"/>
      <c r="X623" s="169"/>
      <c r="Y623" s="170"/>
      <c r="Z623" s="193"/>
      <c r="AA623" s="194"/>
      <c r="AB623" s="194"/>
      <c r="AC623" s="194"/>
      <c r="AD623" s="194"/>
      <c r="AE623" s="194"/>
      <c r="AF623" s="194"/>
      <c r="AG623" s="194"/>
      <c r="AH623" s="194"/>
      <c r="AI623" s="194"/>
      <c r="AJ623" s="194"/>
      <c r="AK623" s="195"/>
      <c r="AL623" s="164"/>
      <c r="AM623" s="164"/>
      <c r="AN623" s="164"/>
      <c r="AO623" s="164"/>
      <c r="AP623" s="164"/>
      <c r="AQ623" s="164"/>
    </row>
    <row r="624" spans="2:43" x14ac:dyDescent="0.3">
      <c r="B624" s="161"/>
      <c r="C624" s="162"/>
      <c r="D624" s="162"/>
      <c r="E624" s="163"/>
      <c r="F624" s="192"/>
      <c r="G624" s="192"/>
      <c r="H624" s="192"/>
      <c r="I624" s="192"/>
      <c r="J624" s="186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8"/>
      <c r="V624" s="168"/>
      <c r="W624" s="169"/>
      <c r="X624" s="169"/>
      <c r="Y624" s="170"/>
      <c r="Z624" s="193"/>
      <c r="AA624" s="194"/>
      <c r="AB624" s="194"/>
      <c r="AC624" s="194"/>
      <c r="AD624" s="194"/>
      <c r="AE624" s="194"/>
      <c r="AF624" s="194"/>
      <c r="AG624" s="194"/>
      <c r="AH624" s="194"/>
      <c r="AI624" s="194"/>
      <c r="AJ624" s="194"/>
      <c r="AK624" s="195"/>
      <c r="AL624" s="164"/>
      <c r="AM624" s="164"/>
      <c r="AN624" s="164"/>
      <c r="AO624" s="164"/>
      <c r="AP624" s="164"/>
      <c r="AQ624" s="164"/>
    </row>
    <row r="625" spans="2:43" x14ac:dyDescent="0.3">
      <c r="B625" s="161"/>
      <c r="C625" s="162"/>
      <c r="D625" s="162"/>
      <c r="E625" s="163"/>
      <c r="F625" s="192"/>
      <c r="G625" s="192"/>
      <c r="H625" s="192"/>
      <c r="I625" s="192"/>
      <c r="J625" s="186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8"/>
      <c r="V625" s="168"/>
      <c r="W625" s="169"/>
      <c r="X625" s="169"/>
      <c r="Y625" s="170"/>
      <c r="Z625" s="193"/>
      <c r="AA625" s="194"/>
      <c r="AB625" s="194"/>
      <c r="AC625" s="194"/>
      <c r="AD625" s="194"/>
      <c r="AE625" s="194"/>
      <c r="AF625" s="194"/>
      <c r="AG625" s="194"/>
      <c r="AH625" s="194"/>
      <c r="AI625" s="194"/>
      <c r="AJ625" s="194"/>
      <c r="AK625" s="195"/>
      <c r="AL625" s="164"/>
      <c r="AM625" s="164"/>
      <c r="AN625" s="164"/>
      <c r="AO625" s="164"/>
      <c r="AP625" s="164"/>
      <c r="AQ625" s="164"/>
    </row>
    <row r="626" spans="2:43" x14ac:dyDescent="0.3">
      <c r="B626" s="161"/>
      <c r="C626" s="162"/>
      <c r="D626" s="162"/>
      <c r="E626" s="163"/>
      <c r="F626" s="192"/>
      <c r="G626" s="192"/>
      <c r="H626" s="192"/>
      <c r="I626" s="192"/>
      <c r="J626" s="189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1"/>
      <c r="V626" s="171"/>
      <c r="W626" s="172"/>
      <c r="X626" s="172"/>
      <c r="Y626" s="173"/>
      <c r="Z626" s="199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  <c r="AK626" s="201"/>
      <c r="AL626" s="164"/>
      <c r="AM626" s="164"/>
      <c r="AN626" s="164"/>
      <c r="AO626" s="164"/>
      <c r="AP626" s="164"/>
      <c r="AQ626" s="164"/>
    </row>
    <row r="627" spans="2:43" x14ac:dyDescent="0.3">
      <c r="B627" s="161"/>
      <c r="C627" s="162"/>
      <c r="D627" s="162"/>
      <c r="E627" s="163"/>
      <c r="F627" s="192"/>
      <c r="G627" s="192"/>
      <c r="H627" s="192"/>
      <c r="I627" s="192"/>
      <c r="J627" s="183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5"/>
      <c r="V627" s="165"/>
      <c r="W627" s="166"/>
      <c r="X627" s="166"/>
      <c r="Y627" s="167"/>
      <c r="Z627" s="196"/>
      <c r="AA627" s="197"/>
      <c r="AB627" s="197"/>
      <c r="AC627" s="197"/>
      <c r="AD627" s="197"/>
      <c r="AE627" s="197"/>
      <c r="AF627" s="197"/>
      <c r="AG627" s="197"/>
      <c r="AH627" s="197"/>
      <c r="AI627" s="197"/>
      <c r="AJ627" s="197"/>
      <c r="AK627" s="198"/>
      <c r="AL627" s="164"/>
      <c r="AM627" s="164"/>
      <c r="AN627" s="164"/>
      <c r="AO627" s="164"/>
      <c r="AP627" s="164"/>
      <c r="AQ627" s="164"/>
    </row>
    <row r="628" spans="2:43" x14ac:dyDescent="0.3">
      <c r="B628" s="161"/>
      <c r="C628" s="162"/>
      <c r="D628" s="162"/>
      <c r="E628" s="163"/>
      <c r="F628" s="192"/>
      <c r="G628" s="192"/>
      <c r="H628" s="192"/>
      <c r="I628" s="192"/>
      <c r="J628" s="186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8"/>
      <c r="V628" s="168"/>
      <c r="W628" s="169"/>
      <c r="X628" s="169"/>
      <c r="Y628" s="170"/>
      <c r="Z628" s="193"/>
      <c r="AA628" s="194"/>
      <c r="AB628" s="194"/>
      <c r="AC628" s="194"/>
      <c r="AD628" s="194"/>
      <c r="AE628" s="194"/>
      <c r="AF628" s="194"/>
      <c r="AG628" s="194"/>
      <c r="AH628" s="194"/>
      <c r="AI628" s="194"/>
      <c r="AJ628" s="194"/>
      <c r="AK628" s="195"/>
      <c r="AL628" s="164"/>
      <c r="AM628" s="164"/>
      <c r="AN628" s="164"/>
      <c r="AO628" s="164"/>
      <c r="AP628" s="164"/>
      <c r="AQ628" s="164"/>
    </row>
    <row r="629" spans="2:43" x14ac:dyDescent="0.3">
      <c r="B629" s="161"/>
      <c r="C629" s="162"/>
      <c r="D629" s="162"/>
      <c r="E629" s="163"/>
      <c r="F629" s="192"/>
      <c r="G629" s="192"/>
      <c r="H629" s="192"/>
      <c r="I629" s="192"/>
      <c r="J629" s="186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8"/>
      <c r="V629" s="168"/>
      <c r="W629" s="169"/>
      <c r="X629" s="169"/>
      <c r="Y629" s="170"/>
      <c r="Z629" s="193"/>
      <c r="AA629" s="194"/>
      <c r="AB629" s="194"/>
      <c r="AC629" s="194"/>
      <c r="AD629" s="194"/>
      <c r="AE629" s="194"/>
      <c r="AF629" s="194"/>
      <c r="AG629" s="194"/>
      <c r="AH629" s="194"/>
      <c r="AI629" s="194"/>
      <c r="AJ629" s="194"/>
      <c r="AK629" s="195"/>
      <c r="AL629" s="164"/>
      <c r="AM629" s="164"/>
      <c r="AN629" s="164"/>
      <c r="AO629" s="164"/>
      <c r="AP629" s="164"/>
      <c r="AQ629" s="164"/>
    </row>
    <row r="630" spans="2:43" x14ac:dyDescent="0.3">
      <c r="B630" s="161"/>
      <c r="C630" s="162"/>
      <c r="D630" s="162"/>
      <c r="E630" s="163"/>
      <c r="F630" s="192"/>
      <c r="G630" s="192"/>
      <c r="H630" s="192"/>
      <c r="I630" s="192"/>
      <c r="J630" s="186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8"/>
      <c r="V630" s="168"/>
      <c r="W630" s="169"/>
      <c r="X630" s="169"/>
      <c r="Y630" s="170"/>
      <c r="Z630" s="193"/>
      <c r="AA630" s="194"/>
      <c r="AB630" s="194"/>
      <c r="AC630" s="194"/>
      <c r="AD630" s="194"/>
      <c r="AE630" s="194"/>
      <c r="AF630" s="194"/>
      <c r="AG630" s="194"/>
      <c r="AH630" s="194"/>
      <c r="AI630" s="194"/>
      <c r="AJ630" s="194"/>
      <c r="AK630" s="195"/>
      <c r="AL630" s="164"/>
      <c r="AM630" s="164"/>
      <c r="AN630" s="164"/>
      <c r="AO630" s="164"/>
      <c r="AP630" s="164"/>
      <c r="AQ630" s="164"/>
    </row>
    <row r="631" spans="2:43" x14ac:dyDescent="0.3">
      <c r="B631" s="161"/>
      <c r="C631" s="162"/>
      <c r="D631" s="162"/>
      <c r="E631" s="163"/>
      <c r="F631" s="192"/>
      <c r="G631" s="192"/>
      <c r="H631" s="192"/>
      <c r="I631" s="192"/>
      <c r="J631" s="186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8"/>
      <c r="V631" s="168"/>
      <c r="W631" s="169"/>
      <c r="X631" s="169"/>
      <c r="Y631" s="170"/>
      <c r="Z631" s="193"/>
      <c r="AA631" s="194"/>
      <c r="AB631" s="194"/>
      <c r="AC631" s="194"/>
      <c r="AD631" s="194"/>
      <c r="AE631" s="194"/>
      <c r="AF631" s="194"/>
      <c r="AG631" s="194"/>
      <c r="AH631" s="194"/>
      <c r="AI631" s="194"/>
      <c r="AJ631" s="194"/>
      <c r="AK631" s="195"/>
      <c r="AL631" s="164"/>
      <c r="AM631" s="164"/>
      <c r="AN631" s="164"/>
      <c r="AO631" s="164"/>
      <c r="AP631" s="164"/>
      <c r="AQ631" s="164"/>
    </row>
    <row r="632" spans="2:43" x14ac:dyDescent="0.3">
      <c r="B632" s="161"/>
      <c r="C632" s="162"/>
      <c r="D632" s="162"/>
      <c r="E632" s="163"/>
      <c r="F632" s="192"/>
      <c r="G632" s="192"/>
      <c r="H632" s="192"/>
      <c r="I632" s="192"/>
      <c r="J632" s="186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8"/>
      <c r="V632" s="168"/>
      <c r="W632" s="169"/>
      <c r="X632" s="169"/>
      <c r="Y632" s="170"/>
      <c r="Z632" s="193"/>
      <c r="AA632" s="194"/>
      <c r="AB632" s="194"/>
      <c r="AC632" s="194"/>
      <c r="AD632" s="194"/>
      <c r="AE632" s="194"/>
      <c r="AF632" s="194"/>
      <c r="AG632" s="194"/>
      <c r="AH632" s="194"/>
      <c r="AI632" s="194"/>
      <c r="AJ632" s="194"/>
      <c r="AK632" s="195"/>
      <c r="AL632" s="164"/>
      <c r="AM632" s="164"/>
      <c r="AN632" s="164"/>
      <c r="AO632" s="164"/>
      <c r="AP632" s="164"/>
      <c r="AQ632" s="164"/>
    </row>
    <row r="633" spans="2:43" x14ac:dyDescent="0.3">
      <c r="B633" s="161"/>
      <c r="C633" s="162"/>
      <c r="D633" s="162"/>
      <c r="E633" s="163"/>
      <c r="F633" s="192"/>
      <c r="G633" s="192"/>
      <c r="H633" s="192"/>
      <c r="I633" s="192"/>
      <c r="J633" s="186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8"/>
      <c r="V633" s="168"/>
      <c r="W633" s="169"/>
      <c r="X633" s="169"/>
      <c r="Y633" s="170"/>
      <c r="Z633" s="193"/>
      <c r="AA633" s="194"/>
      <c r="AB633" s="194"/>
      <c r="AC633" s="194"/>
      <c r="AD633" s="194"/>
      <c r="AE633" s="194"/>
      <c r="AF633" s="194"/>
      <c r="AG633" s="194"/>
      <c r="AH633" s="194"/>
      <c r="AI633" s="194"/>
      <c r="AJ633" s="194"/>
      <c r="AK633" s="195"/>
      <c r="AL633" s="164"/>
      <c r="AM633" s="164"/>
      <c r="AN633" s="164"/>
      <c r="AO633" s="164"/>
      <c r="AP633" s="164"/>
      <c r="AQ633" s="164"/>
    </row>
    <row r="634" spans="2:43" x14ac:dyDescent="0.3">
      <c r="B634" s="161"/>
      <c r="C634" s="162"/>
      <c r="D634" s="162"/>
      <c r="E634" s="163"/>
      <c r="F634" s="192"/>
      <c r="G634" s="192"/>
      <c r="H634" s="192"/>
      <c r="I634" s="192"/>
      <c r="J634" s="189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1"/>
      <c r="V634" s="171"/>
      <c r="W634" s="172"/>
      <c r="X634" s="172"/>
      <c r="Y634" s="173"/>
      <c r="Z634" s="199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  <c r="AK634" s="201"/>
      <c r="AL634" s="164"/>
      <c r="AM634" s="164"/>
      <c r="AN634" s="164"/>
      <c r="AO634" s="164"/>
      <c r="AP634" s="164"/>
      <c r="AQ634" s="164"/>
    </row>
    <row r="635" spans="2:43" x14ac:dyDescent="0.3">
      <c r="B635" s="161"/>
      <c r="C635" s="162"/>
      <c r="D635" s="162"/>
      <c r="E635" s="163"/>
      <c r="F635" s="192"/>
      <c r="G635" s="192"/>
      <c r="H635" s="192"/>
      <c r="I635" s="192"/>
      <c r="J635" s="183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5"/>
      <c r="V635" s="165"/>
      <c r="W635" s="166"/>
      <c r="X635" s="166"/>
      <c r="Y635" s="167"/>
      <c r="Z635" s="196"/>
      <c r="AA635" s="197"/>
      <c r="AB635" s="197"/>
      <c r="AC635" s="197"/>
      <c r="AD635" s="197"/>
      <c r="AE635" s="197"/>
      <c r="AF635" s="197"/>
      <c r="AG635" s="197"/>
      <c r="AH635" s="197"/>
      <c r="AI635" s="197"/>
      <c r="AJ635" s="197"/>
      <c r="AK635" s="198"/>
      <c r="AL635" s="164"/>
      <c r="AM635" s="164"/>
      <c r="AN635" s="164"/>
      <c r="AO635" s="164"/>
      <c r="AP635" s="164"/>
      <c r="AQ635" s="164"/>
    </row>
    <row r="636" spans="2:43" x14ac:dyDescent="0.3">
      <c r="B636" s="161"/>
      <c r="C636" s="162"/>
      <c r="D636" s="162"/>
      <c r="E636" s="163"/>
      <c r="F636" s="192"/>
      <c r="G636" s="192"/>
      <c r="H636" s="192"/>
      <c r="I636" s="192"/>
      <c r="J636" s="186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8"/>
      <c r="V636" s="168"/>
      <c r="W636" s="169"/>
      <c r="X636" s="169"/>
      <c r="Y636" s="170"/>
      <c r="Z636" s="193"/>
      <c r="AA636" s="194"/>
      <c r="AB636" s="194"/>
      <c r="AC636" s="194"/>
      <c r="AD636" s="194"/>
      <c r="AE636" s="194"/>
      <c r="AF636" s="194"/>
      <c r="AG636" s="194"/>
      <c r="AH636" s="194"/>
      <c r="AI636" s="194"/>
      <c r="AJ636" s="194"/>
      <c r="AK636" s="195"/>
      <c r="AL636" s="164"/>
      <c r="AM636" s="164"/>
      <c r="AN636" s="164"/>
      <c r="AO636" s="164"/>
      <c r="AP636" s="164"/>
      <c r="AQ636" s="164"/>
    </row>
    <row r="637" spans="2:43" x14ac:dyDescent="0.3">
      <c r="B637" s="161"/>
      <c r="C637" s="162"/>
      <c r="D637" s="162"/>
      <c r="E637" s="163"/>
      <c r="F637" s="192"/>
      <c r="G637" s="192"/>
      <c r="H637" s="192"/>
      <c r="I637" s="192"/>
      <c r="J637" s="186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8"/>
      <c r="V637" s="168"/>
      <c r="W637" s="169"/>
      <c r="X637" s="169"/>
      <c r="Y637" s="170"/>
      <c r="Z637" s="193"/>
      <c r="AA637" s="194"/>
      <c r="AB637" s="194"/>
      <c r="AC637" s="194"/>
      <c r="AD637" s="194"/>
      <c r="AE637" s="194"/>
      <c r="AF637" s="194"/>
      <c r="AG637" s="194"/>
      <c r="AH637" s="194"/>
      <c r="AI637" s="194"/>
      <c r="AJ637" s="194"/>
      <c r="AK637" s="195"/>
      <c r="AL637" s="164"/>
      <c r="AM637" s="164"/>
      <c r="AN637" s="164"/>
      <c r="AO637" s="164"/>
      <c r="AP637" s="164"/>
      <c r="AQ637" s="164"/>
    </row>
    <row r="638" spans="2:43" x14ac:dyDescent="0.3">
      <c r="B638" s="161"/>
      <c r="C638" s="162"/>
      <c r="D638" s="162"/>
      <c r="E638" s="163"/>
      <c r="F638" s="192"/>
      <c r="G638" s="192"/>
      <c r="H638" s="192"/>
      <c r="I638" s="192"/>
      <c r="J638" s="186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8"/>
      <c r="V638" s="168"/>
      <c r="W638" s="169"/>
      <c r="X638" s="169"/>
      <c r="Y638" s="170"/>
      <c r="Z638" s="193"/>
      <c r="AA638" s="194"/>
      <c r="AB638" s="194"/>
      <c r="AC638" s="194"/>
      <c r="AD638" s="194"/>
      <c r="AE638" s="194"/>
      <c r="AF638" s="194"/>
      <c r="AG638" s="194"/>
      <c r="AH638" s="194"/>
      <c r="AI638" s="194"/>
      <c r="AJ638" s="194"/>
      <c r="AK638" s="195"/>
      <c r="AL638" s="164"/>
      <c r="AM638" s="164"/>
      <c r="AN638" s="164"/>
      <c r="AO638" s="164"/>
      <c r="AP638" s="164"/>
      <c r="AQ638" s="164"/>
    </row>
    <row r="639" spans="2:43" x14ac:dyDescent="0.3">
      <c r="B639" s="161"/>
      <c r="C639" s="162"/>
      <c r="D639" s="162"/>
      <c r="E639" s="163"/>
      <c r="F639" s="192"/>
      <c r="G639" s="192"/>
      <c r="H639" s="192"/>
      <c r="I639" s="192"/>
      <c r="J639" s="186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8"/>
      <c r="V639" s="168"/>
      <c r="W639" s="169"/>
      <c r="X639" s="169"/>
      <c r="Y639" s="170"/>
      <c r="Z639" s="193"/>
      <c r="AA639" s="194"/>
      <c r="AB639" s="194"/>
      <c r="AC639" s="194"/>
      <c r="AD639" s="194"/>
      <c r="AE639" s="194"/>
      <c r="AF639" s="194"/>
      <c r="AG639" s="194"/>
      <c r="AH639" s="194"/>
      <c r="AI639" s="194"/>
      <c r="AJ639" s="194"/>
      <c r="AK639" s="195"/>
      <c r="AL639" s="164"/>
      <c r="AM639" s="164"/>
      <c r="AN639" s="164"/>
      <c r="AO639" s="164"/>
      <c r="AP639" s="164"/>
      <c r="AQ639" s="164"/>
    </row>
    <row r="640" spans="2:43" x14ac:dyDescent="0.3">
      <c r="B640" s="161"/>
      <c r="C640" s="162"/>
      <c r="D640" s="162"/>
      <c r="E640" s="163"/>
      <c r="F640" s="192"/>
      <c r="G640" s="192"/>
      <c r="H640" s="192"/>
      <c r="I640" s="192"/>
      <c r="J640" s="186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8"/>
      <c r="V640" s="168"/>
      <c r="W640" s="169"/>
      <c r="X640" s="169"/>
      <c r="Y640" s="170"/>
      <c r="Z640" s="193"/>
      <c r="AA640" s="194"/>
      <c r="AB640" s="194"/>
      <c r="AC640" s="194"/>
      <c r="AD640" s="194"/>
      <c r="AE640" s="194"/>
      <c r="AF640" s="194"/>
      <c r="AG640" s="194"/>
      <c r="AH640" s="194"/>
      <c r="AI640" s="194"/>
      <c r="AJ640" s="194"/>
      <c r="AK640" s="195"/>
      <c r="AL640" s="164"/>
      <c r="AM640" s="164"/>
      <c r="AN640" s="164"/>
      <c r="AO640" s="164"/>
      <c r="AP640" s="164"/>
      <c r="AQ640" s="164"/>
    </row>
    <row r="641" spans="2:43" x14ac:dyDescent="0.3">
      <c r="B641" s="161"/>
      <c r="C641" s="162"/>
      <c r="D641" s="162"/>
      <c r="E641" s="163"/>
      <c r="F641" s="192"/>
      <c r="G641" s="192"/>
      <c r="H641" s="192"/>
      <c r="I641" s="192"/>
      <c r="J641" s="186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8"/>
      <c r="V641" s="168"/>
      <c r="W641" s="169"/>
      <c r="X641" s="169"/>
      <c r="Y641" s="170"/>
      <c r="Z641" s="193"/>
      <c r="AA641" s="194"/>
      <c r="AB641" s="194"/>
      <c r="AC641" s="194"/>
      <c r="AD641" s="194"/>
      <c r="AE641" s="194"/>
      <c r="AF641" s="194"/>
      <c r="AG641" s="194"/>
      <c r="AH641" s="194"/>
      <c r="AI641" s="194"/>
      <c r="AJ641" s="194"/>
      <c r="AK641" s="195"/>
      <c r="AL641" s="164"/>
      <c r="AM641" s="164"/>
      <c r="AN641" s="164"/>
      <c r="AO641" s="164"/>
      <c r="AP641" s="164"/>
      <c r="AQ641" s="164"/>
    </row>
    <row r="642" spans="2:43" x14ac:dyDescent="0.3">
      <c r="B642" s="161"/>
      <c r="C642" s="162"/>
      <c r="D642" s="162"/>
      <c r="E642" s="163"/>
      <c r="F642" s="192"/>
      <c r="G642" s="192"/>
      <c r="H642" s="192"/>
      <c r="I642" s="192"/>
      <c r="J642" s="189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1"/>
      <c r="V642" s="171"/>
      <c r="W642" s="172"/>
      <c r="X642" s="172"/>
      <c r="Y642" s="173"/>
      <c r="Z642" s="199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  <c r="AK642" s="201"/>
      <c r="AL642" s="164"/>
      <c r="AM642" s="164"/>
      <c r="AN642" s="164"/>
      <c r="AO642" s="164"/>
      <c r="AP642" s="164"/>
      <c r="AQ642" s="164"/>
    </row>
    <row r="643" spans="2:43" x14ac:dyDescent="0.3">
      <c r="B643" s="161"/>
      <c r="C643" s="162"/>
      <c r="D643" s="162"/>
      <c r="E643" s="163"/>
      <c r="F643" s="192"/>
      <c r="G643" s="192"/>
      <c r="H643" s="192"/>
      <c r="I643" s="192"/>
      <c r="J643" s="183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5"/>
      <c r="V643" s="165"/>
      <c r="W643" s="166"/>
      <c r="X643" s="166"/>
      <c r="Y643" s="167"/>
      <c r="Z643" s="196"/>
      <c r="AA643" s="197"/>
      <c r="AB643" s="197"/>
      <c r="AC643" s="197"/>
      <c r="AD643" s="197"/>
      <c r="AE643" s="197"/>
      <c r="AF643" s="197"/>
      <c r="AG643" s="197"/>
      <c r="AH643" s="197"/>
      <c r="AI643" s="197"/>
      <c r="AJ643" s="197"/>
      <c r="AK643" s="198"/>
      <c r="AL643" s="164"/>
      <c r="AM643" s="164"/>
      <c r="AN643" s="164"/>
      <c r="AO643" s="164"/>
      <c r="AP643" s="164"/>
      <c r="AQ643" s="164"/>
    </row>
    <row r="644" spans="2:43" x14ac:dyDescent="0.3">
      <c r="B644" s="161"/>
      <c r="C644" s="162"/>
      <c r="D644" s="162"/>
      <c r="E644" s="163"/>
      <c r="F644" s="192"/>
      <c r="G644" s="192"/>
      <c r="H644" s="192"/>
      <c r="I644" s="192"/>
      <c r="J644" s="186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8"/>
      <c r="V644" s="168"/>
      <c r="W644" s="169"/>
      <c r="X644" s="169"/>
      <c r="Y644" s="170"/>
      <c r="Z644" s="193"/>
      <c r="AA644" s="194"/>
      <c r="AB644" s="194"/>
      <c r="AC644" s="194"/>
      <c r="AD644" s="194"/>
      <c r="AE644" s="194"/>
      <c r="AF644" s="194"/>
      <c r="AG644" s="194"/>
      <c r="AH644" s="194"/>
      <c r="AI644" s="194"/>
      <c r="AJ644" s="194"/>
      <c r="AK644" s="195"/>
      <c r="AL644" s="164"/>
      <c r="AM644" s="164"/>
      <c r="AN644" s="164"/>
      <c r="AO644" s="164"/>
      <c r="AP644" s="164"/>
      <c r="AQ644" s="164"/>
    </row>
    <row r="645" spans="2:43" x14ac:dyDescent="0.3">
      <c r="B645" s="161"/>
      <c r="C645" s="162"/>
      <c r="D645" s="162"/>
      <c r="E645" s="163"/>
      <c r="F645" s="192"/>
      <c r="G645" s="192"/>
      <c r="H645" s="192"/>
      <c r="I645" s="192"/>
      <c r="J645" s="186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8"/>
      <c r="V645" s="168"/>
      <c r="W645" s="169"/>
      <c r="X645" s="169"/>
      <c r="Y645" s="170"/>
      <c r="Z645" s="193"/>
      <c r="AA645" s="194"/>
      <c r="AB645" s="194"/>
      <c r="AC645" s="194"/>
      <c r="AD645" s="194"/>
      <c r="AE645" s="194"/>
      <c r="AF645" s="194"/>
      <c r="AG645" s="194"/>
      <c r="AH645" s="194"/>
      <c r="AI645" s="194"/>
      <c r="AJ645" s="194"/>
      <c r="AK645" s="195"/>
      <c r="AL645" s="164"/>
      <c r="AM645" s="164"/>
      <c r="AN645" s="164"/>
      <c r="AO645" s="164"/>
      <c r="AP645" s="164"/>
      <c r="AQ645" s="164"/>
    </row>
    <row r="646" spans="2:43" x14ac:dyDescent="0.3">
      <c r="B646" s="161"/>
      <c r="C646" s="162"/>
      <c r="D646" s="162"/>
      <c r="E646" s="163"/>
      <c r="F646" s="192"/>
      <c r="G646" s="192"/>
      <c r="H646" s="192"/>
      <c r="I646" s="192"/>
      <c r="J646" s="186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8"/>
      <c r="V646" s="168"/>
      <c r="W646" s="169"/>
      <c r="X646" s="169"/>
      <c r="Y646" s="170"/>
      <c r="Z646" s="193"/>
      <c r="AA646" s="194"/>
      <c r="AB646" s="194"/>
      <c r="AC646" s="194"/>
      <c r="AD646" s="194"/>
      <c r="AE646" s="194"/>
      <c r="AF646" s="194"/>
      <c r="AG646" s="194"/>
      <c r="AH646" s="194"/>
      <c r="AI646" s="194"/>
      <c r="AJ646" s="194"/>
      <c r="AK646" s="195"/>
      <c r="AL646" s="164"/>
      <c r="AM646" s="164"/>
      <c r="AN646" s="164"/>
      <c r="AO646" s="164"/>
      <c r="AP646" s="164"/>
      <c r="AQ646" s="164"/>
    </row>
    <row r="647" spans="2:43" x14ac:dyDescent="0.3">
      <c r="B647" s="161"/>
      <c r="C647" s="162"/>
      <c r="D647" s="162"/>
      <c r="E647" s="163"/>
      <c r="F647" s="192"/>
      <c r="G647" s="192"/>
      <c r="H647" s="192"/>
      <c r="I647" s="192"/>
      <c r="J647" s="186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8"/>
      <c r="V647" s="168"/>
      <c r="W647" s="169"/>
      <c r="X647" s="169"/>
      <c r="Y647" s="170"/>
      <c r="Z647" s="193"/>
      <c r="AA647" s="194"/>
      <c r="AB647" s="194"/>
      <c r="AC647" s="194"/>
      <c r="AD647" s="194"/>
      <c r="AE647" s="194"/>
      <c r="AF647" s="194"/>
      <c r="AG647" s="194"/>
      <c r="AH647" s="194"/>
      <c r="AI647" s="194"/>
      <c r="AJ647" s="194"/>
      <c r="AK647" s="195"/>
      <c r="AL647" s="164"/>
      <c r="AM647" s="164"/>
      <c r="AN647" s="164"/>
      <c r="AO647" s="164"/>
      <c r="AP647" s="164"/>
      <c r="AQ647" s="164"/>
    </row>
    <row r="648" spans="2:43" x14ac:dyDescent="0.3">
      <c r="B648" s="161"/>
      <c r="C648" s="162"/>
      <c r="D648" s="162"/>
      <c r="E648" s="163"/>
      <c r="F648" s="192"/>
      <c r="G648" s="192"/>
      <c r="H648" s="192"/>
      <c r="I648" s="192"/>
      <c r="J648" s="186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8"/>
      <c r="V648" s="168"/>
      <c r="W648" s="169"/>
      <c r="X648" s="169"/>
      <c r="Y648" s="170"/>
      <c r="Z648" s="193"/>
      <c r="AA648" s="194"/>
      <c r="AB648" s="194"/>
      <c r="AC648" s="194"/>
      <c r="AD648" s="194"/>
      <c r="AE648" s="194"/>
      <c r="AF648" s="194"/>
      <c r="AG648" s="194"/>
      <c r="AH648" s="194"/>
      <c r="AI648" s="194"/>
      <c r="AJ648" s="194"/>
      <c r="AK648" s="195"/>
      <c r="AL648" s="164"/>
      <c r="AM648" s="164"/>
      <c r="AN648" s="164"/>
      <c r="AO648" s="164"/>
      <c r="AP648" s="164"/>
      <c r="AQ648" s="164"/>
    </row>
    <row r="649" spans="2:43" x14ac:dyDescent="0.3">
      <c r="B649" s="161"/>
      <c r="C649" s="162"/>
      <c r="D649" s="162"/>
      <c r="E649" s="163"/>
      <c r="F649" s="192"/>
      <c r="G649" s="192"/>
      <c r="H649" s="192"/>
      <c r="I649" s="192"/>
      <c r="J649" s="186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8"/>
      <c r="V649" s="168"/>
      <c r="W649" s="169"/>
      <c r="X649" s="169"/>
      <c r="Y649" s="170"/>
      <c r="Z649" s="193"/>
      <c r="AA649" s="194"/>
      <c r="AB649" s="194"/>
      <c r="AC649" s="194"/>
      <c r="AD649" s="194"/>
      <c r="AE649" s="194"/>
      <c r="AF649" s="194"/>
      <c r="AG649" s="194"/>
      <c r="AH649" s="194"/>
      <c r="AI649" s="194"/>
      <c r="AJ649" s="194"/>
      <c r="AK649" s="195"/>
      <c r="AL649" s="164"/>
      <c r="AM649" s="164"/>
      <c r="AN649" s="164"/>
      <c r="AO649" s="164"/>
      <c r="AP649" s="164"/>
      <c r="AQ649" s="164"/>
    </row>
    <row r="650" spans="2:43" x14ac:dyDescent="0.3">
      <c r="B650" s="161"/>
      <c r="C650" s="162"/>
      <c r="D650" s="162"/>
      <c r="E650" s="163"/>
      <c r="F650" s="192"/>
      <c r="G650" s="192"/>
      <c r="H650" s="192"/>
      <c r="I650" s="192"/>
      <c r="J650" s="189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1"/>
      <c r="V650" s="171"/>
      <c r="W650" s="172"/>
      <c r="X650" s="172"/>
      <c r="Y650" s="173"/>
      <c r="Z650" s="199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  <c r="AK650" s="201"/>
      <c r="AL650" s="164"/>
      <c r="AM650" s="164"/>
      <c r="AN650" s="164"/>
      <c r="AO650" s="164"/>
      <c r="AP650" s="164"/>
      <c r="AQ650" s="164"/>
    </row>
    <row r="651" spans="2:43" x14ac:dyDescent="0.3">
      <c r="B651" s="161"/>
      <c r="C651" s="162"/>
      <c r="D651" s="162"/>
      <c r="E651" s="163"/>
      <c r="F651" s="192"/>
      <c r="G651" s="192"/>
      <c r="H651" s="192"/>
      <c r="I651" s="192"/>
      <c r="J651" s="174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6"/>
      <c r="V651" s="165"/>
      <c r="W651" s="166"/>
      <c r="X651" s="166"/>
      <c r="Y651" s="167"/>
      <c r="Z651" s="196"/>
      <c r="AA651" s="197"/>
      <c r="AB651" s="197"/>
      <c r="AC651" s="197"/>
      <c r="AD651" s="197"/>
      <c r="AE651" s="197"/>
      <c r="AF651" s="197"/>
      <c r="AG651" s="197"/>
      <c r="AH651" s="197"/>
      <c r="AI651" s="197"/>
      <c r="AJ651" s="197"/>
      <c r="AK651" s="198"/>
      <c r="AL651" s="164"/>
      <c r="AM651" s="164"/>
      <c r="AN651" s="164"/>
      <c r="AO651" s="164"/>
      <c r="AP651" s="164"/>
      <c r="AQ651" s="164"/>
    </row>
    <row r="652" spans="2:43" x14ac:dyDescent="0.3">
      <c r="B652" s="161"/>
      <c r="C652" s="162"/>
      <c r="D652" s="162"/>
      <c r="E652" s="163"/>
      <c r="F652" s="192"/>
      <c r="G652" s="192"/>
      <c r="H652" s="192"/>
      <c r="I652" s="192"/>
      <c r="J652" s="177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9"/>
      <c r="V652" s="168"/>
      <c r="W652" s="169"/>
      <c r="X652" s="169"/>
      <c r="Y652" s="170"/>
      <c r="Z652" s="193"/>
      <c r="AA652" s="194"/>
      <c r="AB652" s="194"/>
      <c r="AC652" s="194"/>
      <c r="AD652" s="194"/>
      <c r="AE652" s="194"/>
      <c r="AF652" s="194"/>
      <c r="AG652" s="194"/>
      <c r="AH652" s="194"/>
      <c r="AI652" s="194"/>
      <c r="AJ652" s="194"/>
      <c r="AK652" s="195"/>
      <c r="AL652" s="164"/>
      <c r="AM652" s="164"/>
      <c r="AN652" s="164"/>
      <c r="AO652" s="164"/>
      <c r="AP652" s="164"/>
      <c r="AQ652" s="164"/>
    </row>
    <row r="653" spans="2:43" x14ac:dyDescent="0.3">
      <c r="B653" s="161"/>
      <c r="C653" s="162"/>
      <c r="D653" s="162"/>
      <c r="E653" s="163"/>
      <c r="F653" s="192"/>
      <c r="G653" s="192"/>
      <c r="H653" s="192"/>
      <c r="I653" s="192"/>
      <c r="J653" s="177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9"/>
      <c r="V653" s="168"/>
      <c r="W653" s="169"/>
      <c r="X653" s="169"/>
      <c r="Y653" s="170"/>
      <c r="Z653" s="193"/>
      <c r="AA653" s="194"/>
      <c r="AB653" s="194"/>
      <c r="AC653" s="194"/>
      <c r="AD653" s="194"/>
      <c r="AE653" s="194"/>
      <c r="AF653" s="194"/>
      <c r="AG653" s="194"/>
      <c r="AH653" s="194"/>
      <c r="AI653" s="194"/>
      <c r="AJ653" s="194"/>
      <c r="AK653" s="195"/>
      <c r="AL653" s="164"/>
      <c r="AM653" s="164"/>
      <c r="AN653" s="164"/>
      <c r="AO653" s="164"/>
      <c r="AP653" s="164"/>
      <c r="AQ653" s="164"/>
    </row>
    <row r="654" spans="2:43" x14ac:dyDescent="0.3">
      <c r="B654" s="161"/>
      <c r="C654" s="162"/>
      <c r="D654" s="162"/>
      <c r="E654" s="163"/>
      <c r="F654" s="192"/>
      <c r="G654" s="192"/>
      <c r="H654" s="192"/>
      <c r="I654" s="192"/>
      <c r="J654" s="177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9"/>
      <c r="V654" s="168"/>
      <c r="W654" s="169"/>
      <c r="X654" s="169"/>
      <c r="Y654" s="170"/>
      <c r="Z654" s="193"/>
      <c r="AA654" s="194"/>
      <c r="AB654" s="194"/>
      <c r="AC654" s="194"/>
      <c r="AD654" s="194"/>
      <c r="AE654" s="194"/>
      <c r="AF654" s="194"/>
      <c r="AG654" s="194"/>
      <c r="AH654" s="194"/>
      <c r="AI654" s="194"/>
      <c r="AJ654" s="194"/>
      <c r="AK654" s="195"/>
      <c r="AL654" s="164"/>
      <c r="AM654" s="164"/>
      <c r="AN654" s="164"/>
      <c r="AO654" s="164"/>
      <c r="AP654" s="164"/>
      <c r="AQ654" s="164"/>
    </row>
    <row r="655" spans="2:43" x14ac:dyDescent="0.3">
      <c r="B655" s="161"/>
      <c r="C655" s="162"/>
      <c r="D655" s="162"/>
      <c r="E655" s="163"/>
      <c r="F655" s="192"/>
      <c r="G655" s="192"/>
      <c r="H655" s="192"/>
      <c r="I655" s="192"/>
      <c r="J655" s="177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9"/>
      <c r="V655" s="168"/>
      <c r="W655" s="169"/>
      <c r="X655" s="169"/>
      <c r="Y655" s="170"/>
      <c r="Z655" s="193"/>
      <c r="AA655" s="194"/>
      <c r="AB655" s="194"/>
      <c r="AC655" s="194"/>
      <c r="AD655" s="194"/>
      <c r="AE655" s="194"/>
      <c r="AF655" s="194"/>
      <c r="AG655" s="194"/>
      <c r="AH655" s="194"/>
      <c r="AI655" s="194"/>
      <c r="AJ655" s="194"/>
      <c r="AK655" s="195"/>
      <c r="AL655" s="164"/>
      <c r="AM655" s="164"/>
      <c r="AN655" s="164"/>
      <c r="AO655" s="164"/>
      <c r="AP655" s="164"/>
      <c r="AQ655" s="164"/>
    </row>
    <row r="656" spans="2:43" x14ac:dyDescent="0.3">
      <c r="B656" s="161"/>
      <c r="C656" s="162"/>
      <c r="D656" s="162"/>
      <c r="E656" s="163"/>
      <c r="F656" s="192"/>
      <c r="G656" s="192"/>
      <c r="H656" s="192"/>
      <c r="I656" s="192"/>
      <c r="J656" s="177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9"/>
      <c r="V656" s="168"/>
      <c r="W656" s="169"/>
      <c r="X656" s="169"/>
      <c r="Y656" s="170"/>
      <c r="Z656" s="193"/>
      <c r="AA656" s="194"/>
      <c r="AB656" s="194"/>
      <c r="AC656" s="194"/>
      <c r="AD656" s="194"/>
      <c r="AE656" s="194"/>
      <c r="AF656" s="194"/>
      <c r="AG656" s="194"/>
      <c r="AH656" s="194"/>
      <c r="AI656" s="194"/>
      <c r="AJ656" s="194"/>
      <c r="AK656" s="195"/>
      <c r="AL656" s="164"/>
      <c r="AM656" s="164"/>
      <c r="AN656" s="164"/>
      <c r="AO656" s="164"/>
      <c r="AP656" s="164"/>
      <c r="AQ656" s="164"/>
    </row>
    <row r="657" spans="2:43" x14ac:dyDescent="0.3">
      <c r="B657" s="161"/>
      <c r="C657" s="162"/>
      <c r="D657" s="162"/>
      <c r="E657" s="163"/>
      <c r="F657" s="192"/>
      <c r="G657" s="192"/>
      <c r="H657" s="192"/>
      <c r="I657" s="192"/>
      <c r="J657" s="177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9"/>
      <c r="V657" s="168"/>
      <c r="W657" s="169"/>
      <c r="X657" s="169"/>
      <c r="Y657" s="170"/>
      <c r="Z657" s="193"/>
      <c r="AA657" s="194"/>
      <c r="AB657" s="194"/>
      <c r="AC657" s="194"/>
      <c r="AD657" s="194"/>
      <c r="AE657" s="194"/>
      <c r="AF657" s="194"/>
      <c r="AG657" s="194"/>
      <c r="AH657" s="194"/>
      <c r="AI657" s="194"/>
      <c r="AJ657" s="194"/>
      <c r="AK657" s="195"/>
      <c r="AL657" s="164"/>
      <c r="AM657" s="164"/>
      <c r="AN657" s="164"/>
      <c r="AO657" s="164"/>
      <c r="AP657" s="164"/>
      <c r="AQ657" s="164"/>
    </row>
    <row r="658" spans="2:43" x14ac:dyDescent="0.3">
      <c r="B658" s="161"/>
      <c r="C658" s="162"/>
      <c r="D658" s="162"/>
      <c r="E658" s="163"/>
      <c r="F658" s="192"/>
      <c r="G658" s="192"/>
      <c r="H658" s="192"/>
      <c r="I658" s="192"/>
      <c r="J658" s="180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2"/>
      <c r="V658" s="171"/>
      <c r="W658" s="172"/>
      <c r="X658" s="172"/>
      <c r="Y658" s="173"/>
      <c r="Z658" s="199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  <c r="AK658" s="201"/>
      <c r="AL658" s="164"/>
      <c r="AM658" s="164"/>
      <c r="AN658" s="164"/>
      <c r="AO658" s="164"/>
      <c r="AP658" s="164"/>
      <c r="AQ658" s="164"/>
    </row>
    <row r="659" spans="2:43" x14ac:dyDescent="0.3">
      <c r="B659" s="161"/>
      <c r="C659" s="162"/>
      <c r="D659" s="162"/>
      <c r="E659" s="163"/>
      <c r="F659" s="192"/>
      <c r="G659" s="192"/>
      <c r="H659" s="192"/>
      <c r="I659" s="192"/>
      <c r="J659" s="183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5"/>
      <c r="V659" s="165"/>
      <c r="W659" s="166"/>
      <c r="X659" s="166"/>
      <c r="Y659" s="167"/>
      <c r="Z659" s="196"/>
      <c r="AA659" s="197"/>
      <c r="AB659" s="197"/>
      <c r="AC659" s="197"/>
      <c r="AD659" s="197"/>
      <c r="AE659" s="197"/>
      <c r="AF659" s="197"/>
      <c r="AG659" s="197"/>
      <c r="AH659" s="197"/>
      <c r="AI659" s="197"/>
      <c r="AJ659" s="197"/>
      <c r="AK659" s="198"/>
      <c r="AL659" s="164"/>
      <c r="AM659" s="164"/>
      <c r="AN659" s="164"/>
      <c r="AO659" s="164"/>
      <c r="AP659" s="164"/>
      <c r="AQ659" s="164"/>
    </row>
    <row r="660" spans="2:43" x14ac:dyDescent="0.3">
      <c r="B660" s="161"/>
      <c r="C660" s="162"/>
      <c r="D660" s="162"/>
      <c r="E660" s="163"/>
      <c r="F660" s="192"/>
      <c r="G660" s="192"/>
      <c r="H660" s="192"/>
      <c r="I660" s="192"/>
      <c r="J660" s="186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8"/>
      <c r="V660" s="168"/>
      <c r="W660" s="169"/>
      <c r="X660" s="169"/>
      <c r="Y660" s="170"/>
      <c r="Z660" s="193"/>
      <c r="AA660" s="194"/>
      <c r="AB660" s="194"/>
      <c r="AC660" s="194"/>
      <c r="AD660" s="194"/>
      <c r="AE660" s="194"/>
      <c r="AF660" s="194"/>
      <c r="AG660" s="194"/>
      <c r="AH660" s="194"/>
      <c r="AI660" s="194"/>
      <c r="AJ660" s="194"/>
      <c r="AK660" s="195"/>
      <c r="AL660" s="164"/>
      <c r="AM660" s="164"/>
      <c r="AN660" s="164"/>
      <c r="AO660" s="164"/>
      <c r="AP660" s="164"/>
      <c r="AQ660" s="164"/>
    </row>
    <row r="661" spans="2:43" x14ac:dyDescent="0.3">
      <c r="B661" s="161"/>
      <c r="C661" s="162"/>
      <c r="D661" s="162"/>
      <c r="E661" s="163"/>
      <c r="F661" s="192"/>
      <c r="G661" s="192"/>
      <c r="H661" s="192"/>
      <c r="I661" s="192"/>
      <c r="J661" s="186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8"/>
      <c r="V661" s="168"/>
      <c r="W661" s="169"/>
      <c r="X661" s="169"/>
      <c r="Y661" s="170"/>
      <c r="Z661" s="193"/>
      <c r="AA661" s="194"/>
      <c r="AB661" s="194"/>
      <c r="AC661" s="194"/>
      <c r="AD661" s="194"/>
      <c r="AE661" s="194"/>
      <c r="AF661" s="194"/>
      <c r="AG661" s="194"/>
      <c r="AH661" s="194"/>
      <c r="AI661" s="194"/>
      <c r="AJ661" s="194"/>
      <c r="AK661" s="195"/>
      <c r="AL661" s="164"/>
      <c r="AM661" s="164"/>
      <c r="AN661" s="164"/>
      <c r="AO661" s="164"/>
      <c r="AP661" s="164"/>
      <c r="AQ661" s="164"/>
    </row>
    <row r="662" spans="2:43" x14ac:dyDescent="0.3">
      <c r="B662" s="161"/>
      <c r="C662" s="162"/>
      <c r="D662" s="162"/>
      <c r="E662" s="163"/>
      <c r="F662" s="192"/>
      <c r="G662" s="192"/>
      <c r="H662" s="192"/>
      <c r="I662" s="192"/>
      <c r="J662" s="186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8"/>
      <c r="V662" s="168"/>
      <c r="W662" s="169"/>
      <c r="X662" s="169"/>
      <c r="Y662" s="170"/>
      <c r="Z662" s="193"/>
      <c r="AA662" s="194"/>
      <c r="AB662" s="194"/>
      <c r="AC662" s="194"/>
      <c r="AD662" s="194"/>
      <c r="AE662" s="194"/>
      <c r="AF662" s="194"/>
      <c r="AG662" s="194"/>
      <c r="AH662" s="194"/>
      <c r="AI662" s="194"/>
      <c r="AJ662" s="194"/>
      <c r="AK662" s="195"/>
      <c r="AL662" s="164"/>
      <c r="AM662" s="164"/>
      <c r="AN662" s="164"/>
      <c r="AO662" s="164"/>
      <c r="AP662" s="164"/>
      <c r="AQ662" s="164"/>
    </row>
    <row r="663" spans="2:43" x14ac:dyDescent="0.3">
      <c r="B663" s="161"/>
      <c r="C663" s="162"/>
      <c r="D663" s="162"/>
      <c r="E663" s="163"/>
      <c r="F663" s="192"/>
      <c r="G663" s="192"/>
      <c r="H663" s="192"/>
      <c r="I663" s="192"/>
      <c r="J663" s="186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8"/>
      <c r="V663" s="168"/>
      <c r="W663" s="169"/>
      <c r="X663" s="169"/>
      <c r="Y663" s="170"/>
      <c r="Z663" s="193"/>
      <c r="AA663" s="194"/>
      <c r="AB663" s="194"/>
      <c r="AC663" s="194"/>
      <c r="AD663" s="194"/>
      <c r="AE663" s="194"/>
      <c r="AF663" s="194"/>
      <c r="AG663" s="194"/>
      <c r="AH663" s="194"/>
      <c r="AI663" s="194"/>
      <c r="AJ663" s="194"/>
      <c r="AK663" s="195"/>
      <c r="AL663" s="164"/>
      <c r="AM663" s="164"/>
      <c r="AN663" s="164"/>
      <c r="AO663" s="164"/>
      <c r="AP663" s="164"/>
      <c r="AQ663" s="164"/>
    </row>
    <row r="664" spans="2:43" x14ac:dyDescent="0.3">
      <c r="B664" s="161"/>
      <c r="C664" s="162"/>
      <c r="D664" s="162"/>
      <c r="E664" s="163"/>
      <c r="F664" s="192"/>
      <c r="G664" s="192"/>
      <c r="H664" s="192"/>
      <c r="I664" s="192"/>
      <c r="J664" s="186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8"/>
      <c r="V664" s="168"/>
      <c r="W664" s="169"/>
      <c r="X664" s="169"/>
      <c r="Y664" s="170"/>
      <c r="Z664" s="193"/>
      <c r="AA664" s="194"/>
      <c r="AB664" s="194"/>
      <c r="AC664" s="194"/>
      <c r="AD664" s="194"/>
      <c r="AE664" s="194"/>
      <c r="AF664" s="194"/>
      <c r="AG664" s="194"/>
      <c r="AH664" s="194"/>
      <c r="AI664" s="194"/>
      <c r="AJ664" s="194"/>
      <c r="AK664" s="195"/>
      <c r="AL664" s="164"/>
      <c r="AM664" s="164"/>
      <c r="AN664" s="164"/>
      <c r="AO664" s="164"/>
      <c r="AP664" s="164"/>
      <c r="AQ664" s="164"/>
    </row>
    <row r="665" spans="2:43" x14ac:dyDescent="0.3">
      <c r="B665" s="161"/>
      <c r="C665" s="162"/>
      <c r="D665" s="162"/>
      <c r="E665" s="163"/>
      <c r="F665" s="192"/>
      <c r="G665" s="192"/>
      <c r="H665" s="192"/>
      <c r="I665" s="192"/>
      <c r="J665" s="186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8"/>
      <c r="V665" s="168"/>
      <c r="W665" s="169"/>
      <c r="X665" s="169"/>
      <c r="Y665" s="170"/>
      <c r="Z665" s="193"/>
      <c r="AA665" s="194"/>
      <c r="AB665" s="194"/>
      <c r="AC665" s="194"/>
      <c r="AD665" s="194"/>
      <c r="AE665" s="194"/>
      <c r="AF665" s="194"/>
      <c r="AG665" s="194"/>
      <c r="AH665" s="194"/>
      <c r="AI665" s="194"/>
      <c r="AJ665" s="194"/>
      <c r="AK665" s="195"/>
      <c r="AL665" s="164"/>
      <c r="AM665" s="164"/>
      <c r="AN665" s="164"/>
      <c r="AO665" s="164"/>
      <c r="AP665" s="164"/>
      <c r="AQ665" s="164"/>
    </row>
    <row r="666" spans="2:43" x14ac:dyDescent="0.3">
      <c r="B666" s="161"/>
      <c r="C666" s="162"/>
      <c r="D666" s="162"/>
      <c r="E666" s="163"/>
      <c r="F666" s="192"/>
      <c r="G666" s="192"/>
      <c r="H666" s="192"/>
      <c r="I666" s="192"/>
      <c r="J666" s="189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1"/>
      <c r="V666" s="171"/>
      <c r="W666" s="172"/>
      <c r="X666" s="172"/>
      <c r="Y666" s="173"/>
      <c r="Z666" s="199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  <c r="AK666" s="201"/>
      <c r="AL666" s="164"/>
      <c r="AM666" s="164"/>
      <c r="AN666" s="164"/>
      <c r="AO666" s="164"/>
      <c r="AP666" s="164"/>
      <c r="AQ666" s="164"/>
    </row>
    <row r="667" spans="2:43" x14ac:dyDescent="0.3">
      <c r="B667" s="161"/>
      <c r="C667" s="162"/>
      <c r="D667" s="162"/>
      <c r="E667" s="163"/>
      <c r="F667" s="192"/>
      <c r="G667" s="192"/>
      <c r="H667" s="192"/>
      <c r="I667" s="192"/>
      <c r="J667" s="183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5"/>
      <c r="V667" s="165"/>
      <c r="W667" s="166"/>
      <c r="X667" s="166"/>
      <c r="Y667" s="167"/>
      <c r="Z667" s="196"/>
      <c r="AA667" s="197"/>
      <c r="AB667" s="197"/>
      <c r="AC667" s="197"/>
      <c r="AD667" s="197"/>
      <c r="AE667" s="197"/>
      <c r="AF667" s="197"/>
      <c r="AG667" s="197"/>
      <c r="AH667" s="197"/>
      <c r="AI667" s="197"/>
      <c r="AJ667" s="197"/>
      <c r="AK667" s="198"/>
      <c r="AL667" s="164"/>
      <c r="AM667" s="164"/>
      <c r="AN667" s="164"/>
      <c r="AO667" s="164"/>
      <c r="AP667" s="164"/>
      <c r="AQ667" s="164"/>
    </row>
    <row r="668" spans="2:43" x14ac:dyDescent="0.3">
      <c r="B668" s="161"/>
      <c r="C668" s="162"/>
      <c r="D668" s="162"/>
      <c r="E668" s="163"/>
      <c r="F668" s="192"/>
      <c r="G668" s="192"/>
      <c r="H668" s="192"/>
      <c r="I668" s="192"/>
      <c r="J668" s="186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8"/>
      <c r="V668" s="168"/>
      <c r="W668" s="169"/>
      <c r="X668" s="169"/>
      <c r="Y668" s="170"/>
      <c r="Z668" s="193"/>
      <c r="AA668" s="194"/>
      <c r="AB668" s="194"/>
      <c r="AC668" s="194"/>
      <c r="AD668" s="194"/>
      <c r="AE668" s="194"/>
      <c r="AF668" s="194"/>
      <c r="AG668" s="194"/>
      <c r="AH668" s="194"/>
      <c r="AI668" s="194"/>
      <c r="AJ668" s="194"/>
      <c r="AK668" s="195"/>
      <c r="AL668" s="164"/>
      <c r="AM668" s="164"/>
      <c r="AN668" s="164"/>
      <c r="AO668" s="164"/>
      <c r="AP668" s="164"/>
      <c r="AQ668" s="164"/>
    </row>
    <row r="669" spans="2:43" x14ac:dyDescent="0.3">
      <c r="B669" s="161"/>
      <c r="C669" s="162"/>
      <c r="D669" s="162"/>
      <c r="E669" s="163"/>
      <c r="F669" s="192"/>
      <c r="G669" s="192"/>
      <c r="H669" s="192"/>
      <c r="I669" s="192"/>
      <c r="J669" s="186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8"/>
      <c r="V669" s="168"/>
      <c r="W669" s="169"/>
      <c r="X669" s="169"/>
      <c r="Y669" s="170"/>
      <c r="Z669" s="193"/>
      <c r="AA669" s="194"/>
      <c r="AB669" s="194"/>
      <c r="AC669" s="194"/>
      <c r="AD669" s="194"/>
      <c r="AE669" s="194"/>
      <c r="AF669" s="194"/>
      <c r="AG669" s="194"/>
      <c r="AH669" s="194"/>
      <c r="AI669" s="194"/>
      <c r="AJ669" s="194"/>
      <c r="AK669" s="195"/>
      <c r="AL669" s="164"/>
      <c r="AM669" s="164"/>
      <c r="AN669" s="164"/>
      <c r="AO669" s="164"/>
      <c r="AP669" s="164"/>
      <c r="AQ669" s="164"/>
    </row>
    <row r="670" spans="2:43" x14ac:dyDescent="0.3">
      <c r="B670" s="161"/>
      <c r="C670" s="162"/>
      <c r="D670" s="162"/>
      <c r="E670" s="163"/>
      <c r="F670" s="192"/>
      <c r="G670" s="192"/>
      <c r="H670" s="192"/>
      <c r="I670" s="192"/>
      <c r="J670" s="186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8"/>
      <c r="V670" s="168"/>
      <c r="W670" s="169"/>
      <c r="X670" s="169"/>
      <c r="Y670" s="170"/>
      <c r="Z670" s="193"/>
      <c r="AA670" s="194"/>
      <c r="AB670" s="194"/>
      <c r="AC670" s="194"/>
      <c r="AD670" s="194"/>
      <c r="AE670" s="194"/>
      <c r="AF670" s="194"/>
      <c r="AG670" s="194"/>
      <c r="AH670" s="194"/>
      <c r="AI670" s="194"/>
      <c r="AJ670" s="194"/>
      <c r="AK670" s="195"/>
      <c r="AL670" s="164"/>
      <c r="AM670" s="164"/>
      <c r="AN670" s="164"/>
      <c r="AO670" s="164"/>
      <c r="AP670" s="164"/>
      <c r="AQ670" s="164"/>
    </row>
    <row r="671" spans="2:43" x14ac:dyDescent="0.3">
      <c r="B671" s="161"/>
      <c r="C671" s="162"/>
      <c r="D671" s="162"/>
      <c r="E671" s="163"/>
      <c r="F671" s="192"/>
      <c r="G671" s="192"/>
      <c r="H671" s="192"/>
      <c r="I671" s="192"/>
      <c r="J671" s="186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8"/>
      <c r="V671" s="168"/>
      <c r="W671" s="169"/>
      <c r="X671" s="169"/>
      <c r="Y671" s="170"/>
      <c r="Z671" s="193"/>
      <c r="AA671" s="194"/>
      <c r="AB671" s="194"/>
      <c r="AC671" s="194"/>
      <c r="AD671" s="194"/>
      <c r="AE671" s="194"/>
      <c r="AF671" s="194"/>
      <c r="AG671" s="194"/>
      <c r="AH671" s="194"/>
      <c r="AI671" s="194"/>
      <c r="AJ671" s="194"/>
      <c r="AK671" s="195"/>
      <c r="AL671" s="164"/>
      <c r="AM671" s="164"/>
      <c r="AN671" s="164"/>
      <c r="AO671" s="164"/>
      <c r="AP671" s="164"/>
      <c r="AQ671" s="164"/>
    </row>
    <row r="672" spans="2:43" x14ac:dyDescent="0.3">
      <c r="B672" s="161"/>
      <c r="C672" s="162"/>
      <c r="D672" s="162"/>
      <c r="E672" s="163"/>
      <c r="F672" s="192"/>
      <c r="G672" s="192"/>
      <c r="H672" s="192"/>
      <c r="I672" s="192"/>
      <c r="J672" s="186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8"/>
      <c r="V672" s="168"/>
      <c r="W672" s="169"/>
      <c r="X672" s="169"/>
      <c r="Y672" s="170"/>
      <c r="Z672" s="193"/>
      <c r="AA672" s="194"/>
      <c r="AB672" s="194"/>
      <c r="AC672" s="194"/>
      <c r="AD672" s="194"/>
      <c r="AE672" s="194"/>
      <c r="AF672" s="194"/>
      <c r="AG672" s="194"/>
      <c r="AH672" s="194"/>
      <c r="AI672" s="194"/>
      <c r="AJ672" s="194"/>
      <c r="AK672" s="195"/>
      <c r="AL672" s="164"/>
      <c r="AM672" s="164"/>
      <c r="AN672" s="164"/>
      <c r="AO672" s="164"/>
      <c r="AP672" s="164"/>
      <c r="AQ672" s="164"/>
    </row>
    <row r="673" spans="2:43" x14ac:dyDescent="0.3">
      <c r="B673" s="161"/>
      <c r="C673" s="162"/>
      <c r="D673" s="162"/>
      <c r="E673" s="163"/>
      <c r="F673" s="192"/>
      <c r="G673" s="192"/>
      <c r="H673" s="192"/>
      <c r="I673" s="192"/>
      <c r="J673" s="186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8"/>
      <c r="V673" s="168"/>
      <c r="W673" s="169"/>
      <c r="X673" s="169"/>
      <c r="Y673" s="170"/>
      <c r="Z673" s="193"/>
      <c r="AA673" s="194"/>
      <c r="AB673" s="194"/>
      <c r="AC673" s="194"/>
      <c r="AD673" s="194"/>
      <c r="AE673" s="194"/>
      <c r="AF673" s="194"/>
      <c r="AG673" s="194"/>
      <c r="AH673" s="194"/>
      <c r="AI673" s="194"/>
      <c r="AJ673" s="194"/>
      <c r="AK673" s="195"/>
      <c r="AL673" s="164"/>
      <c r="AM673" s="164"/>
      <c r="AN673" s="164"/>
      <c r="AO673" s="164"/>
      <c r="AP673" s="164"/>
      <c r="AQ673" s="164"/>
    </row>
    <row r="674" spans="2:43" x14ac:dyDescent="0.3">
      <c r="B674" s="161"/>
      <c r="C674" s="162"/>
      <c r="D674" s="162"/>
      <c r="E674" s="163"/>
      <c r="F674" s="192"/>
      <c r="G674" s="192"/>
      <c r="H674" s="192"/>
      <c r="I674" s="192"/>
      <c r="J674" s="189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1"/>
      <c r="V674" s="171"/>
      <c r="W674" s="172"/>
      <c r="X674" s="172"/>
      <c r="Y674" s="173"/>
      <c r="Z674" s="199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  <c r="AK674" s="201"/>
      <c r="AL674" s="164"/>
      <c r="AM674" s="164"/>
      <c r="AN674" s="164"/>
      <c r="AO674" s="164"/>
      <c r="AP674" s="164"/>
      <c r="AQ674" s="164"/>
    </row>
    <row r="675" spans="2:43" x14ac:dyDescent="0.3">
      <c r="B675" s="161"/>
      <c r="C675" s="162"/>
      <c r="D675" s="162"/>
      <c r="E675" s="163"/>
      <c r="F675" s="192"/>
      <c r="G675" s="192"/>
      <c r="H675" s="192"/>
      <c r="I675" s="192"/>
      <c r="J675" s="183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5"/>
      <c r="V675" s="165"/>
      <c r="W675" s="166"/>
      <c r="X675" s="166"/>
      <c r="Y675" s="167"/>
      <c r="Z675" s="196"/>
      <c r="AA675" s="197"/>
      <c r="AB675" s="197"/>
      <c r="AC675" s="197"/>
      <c r="AD675" s="197"/>
      <c r="AE675" s="197"/>
      <c r="AF675" s="197"/>
      <c r="AG675" s="197"/>
      <c r="AH675" s="197"/>
      <c r="AI675" s="197"/>
      <c r="AJ675" s="197"/>
      <c r="AK675" s="198"/>
      <c r="AL675" s="164"/>
      <c r="AM675" s="164"/>
      <c r="AN675" s="164"/>
      <c r="AO675" s="164"/>
      <c r="AP675" s="164"/>
      <c r="AQ675" s="164"/>
    </row>
    <row r="676" spans="2:43" x14ac:dyDescent="0.3">
      <c r="B676" s="161"/>
      <c r="C676" s="162"/>
      <c r="D676" s="162"/>
      <c r="E676" s="163"/>
      <c r="F676" s="192"/>
      <c r="G676" s="192"/>
      <c r="H676" s="192"/>
      <c r="I676" s="192"/>
      <c r="J676" s="186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8"/>
      <c r="V676" s="168"/>
      <c r="W676" s="169"/>
      <c r="X676" s="169"/>
      <c r="Y676" s="170"/>
      <c r="Z676" s="193"/>
      <c r="AA676" s="194"/>
      <c r="AB676" s="194"/>
      <c r="AC676" s="194"/>
      <c r="AD676" s="194"/>
      <c r="AE676" s="194"/>
      <c r="AF676" s="194"/>
      <c r="AG676" s="194"/>
      <c r="AH676" s="194"/>
      <c r="AI676" s="194"/>
      <c r="AJ676" s="194"/>
      <c r="AK676" s="195"/>
      <c r="AL676" s="164"/>
      <c r="AM676" s="164"/>
      <c r="AN676" s="164"/>
      <c r="AO676" s="164"/>
      <c r="AP676" s="164"/>
      <c r="AQ676" s="164"/>
    </row>
    <row r="677" spans="2:43" x14ac:dyDescent="0.3">
      <c r="B677" s="161"/>
      <c r="C677" s="162"/>
      <c r="D677" s="162"/>
      <c r="E677" s="163"/>
      <c r="F677" s="192"/>
      <c r="G677" s="192"/>
      <c r="H677" s="192"/>
      <c r="I677" s="192"/>
      <c r="J677" s="186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8"/>
      <c r="V677" s="168"/>
      <c r="W677" s="169"/>
      <c r="X677" s="169"/>
      <c r="Y677" s="170"/>
      <c r="Z677" s="193"/>
      <c r="AA677" s="194"/>
      <c r="AB677" s="194"/>
      <c r="AC677" s="194"/>
      <c r="AD677" s="194"/>
      <c r="AE677" s="194"/>
      <c r="AF677" s="194"/>
      <c r="AG677" s="194"/>
      <c r="AH677" s="194"/>
      <c r="AI677" s="194"/>
      <c r="AJ677" s="194"/>
      <c r="AK677" s="195"/>
      <c r="AL677" s="164"/>
      <c r="AM677" s="164"/>
      <c r="AN677" s="164"/>
      <c r="AO677" s="164"/>
      <c r="AP677" s="164"/>
      <c r="AQ677" s="164"/>
    </row>
    <row r="678" spans="2:43" x14ac:dyDescent="0.3">
      <c r="B678" s="161"/>
      <c r="C678" s="162"/>
      <c r="D678" s="162"/>
      <c r="E678" s="163"/>
      <c r="F678" s="192"/>
      <c r="G678" s="192"/>
      <c r="H678" s="192"/>
      <c r="I678" s="192"/>
      <c r="J678" s="186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8"/>
      <c r="V678" s="168"/>
      <c r="W678" s="169"/>
      <c r="X678" s="169"/>
      <c r="Y678" s="170"/>
      <c r="Z678" s="193"/>
      <c r="AA678" s="194"/>
      <c r="AB678" s="194"/>
      <c r="AC678" s="194"/>
      <c r="AD678" s="194"/>
      <c r="AE678" s="194"/>
      <c r="AF678" s="194"/>
      <c r="AG678" s="194"/>
      <c r="AH678" s="194"/>
      <c r="AI678" s="194"/>
      <c r="AJ678" s="194"/>
      <c r="AK678" s="195"/>
      <c r="AL678" s="164"/>
      <c r="AM678" s="164"/>
      <c r="AN678" s="164"/>
      <c r="AO678" s="164"/>
      <c r="AP678" s="164"/>
      <c r="AQ678" s="164"/>
    </row>
    <row r="679" spans="2:43" x14ac:dyDescent="0.3">
      <c r="B679" s="161"/>
      <c r="C679" s="162"/>
      <c r="D679" s="162"/>
      <c r="E679" s="163"/>
      <c r="F679" s="192"/>
      <c r="G679" s="192"/>
      <c r="H679" s="192"/>
      <c r="I679" s="192"/>
      <c r="J679" s="186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8"/>
      <c r="V679" s="168"/>
      <c r="W679" s="169"/>
      <c r="X679" s="169"/>
      <c r="Y679" s="170"/>
      <c r="Z679" s="193"/>
      <c r="AA679" s="194"/>
      <c r="AB679" s="194"/>
      <c r="AC679" s="194"/>
      <c r="AD679" s="194"/>
      <c r="AE679" s="194"/>
      <c r="AF679" s="194"/>
      <c r="AG679" s="194"/>
      <c r="AH679" s="194"/>
      <c r="AI679" s="194"/>
      <c r="AJ679" s="194"/>
      <c r="AK679" s="195"/>
      <c r="AL679" s="164"/>
      <c r="AM679" s="164"/>
      <c r="AN679" s="164"/>
      <c r="AO679" s="164"/>
      <c r="AP679" s="164"/>
      <c r="AQ679" s="164"/>
    </row>
    <row r="680" spans="2:43" x14ac:dyDescent="0.3">
      <c r="B680" s="161"/>
      <c r="C680" s="162"/>
      <c r="D680" s="162"/>
      <c r="E680" s="163"/>
      <c r="F680" s="192"/>
      <c r="G680" s="192"/>
      <c r="H680" s="192"/>
      <c r="I680" s="192"/>
      <c r="J680" s="186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8"/>
      <c r="V680" s="168"/>
      <c r="W680" s="169"/>
      <c r="X680" s="169"/>
      <c r="Y680" s="170"/>
      <c r="Z680" s="193"/>
      <c r="AA680" s="194"/>
      <c r="AB680" s="194"/>
      <c r="AC680" s="194"/>
      <c r="AD680" s="194"/>
      <c r="AE680" s="194"/>
      <c r="AF680" s="194"/>
      <c r="AG680" s="194"/>
      <c r="AH680" s="194"/>
      <c r="AI680" s="194"/>
      <c r="AJ680" s="194"/>
      <c r="AK680" s="195"/>
      <c r="AL680" s="164"/>
      <c r="AM680" s="164"/>
      <c r="AN680" s="164"/>
      <c r="AO680" s="164"/>
      <c r="AP680" s="164"/>
      <c r="AQ680" s="164"/>
    </row>
    <row r="681" spans="2:43" x14ac:dyDescent="0.3">
      <c r="B681" s="161"/>
      <c r="C681" s="162"/>
      <c r="D681" s="162"/>
      <c r="E681" s="163"/>
      <c r="F681" s="192"/>
      <c r="G681" s="192"/>
      <c r="H681" s="192"/>
      <c r="I681" s="192"/>
      <c r="J681" s="186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8"/>
      <c r="V681" s="168"/>
      <c r="W681" s="169"/>
      <c r="X681" s="169"/>
      <c r="Y681" s="170"/>
      <c r="Z681" s="193"/>
      <c r="AA681" s="194"/>
      <c r="AB681" s="194"/>
      <c r="AC681" s="194"/>
      <c r="AD681" s="194"/>
      <c r="AE681" s="194"/>
      <c r="AF681" s="194"/>
      <c r="AG681" s="194"/>
      <c r="AH681" s="194"/>
      <c r="AI681" s="194"/>
      <c r="AJ681" s="194"/>
      <c r="AK681" s="195"/>
      <c r="AL681" s="164"/>
      <c r="AM681" s="164"/>
      <c r="AN681" s="164"/>
      <c r="AO681" s="164"/>
      <c r="AP681" s="164"/>
      <c r="AQ681" s="164"/>
    </row>
    <row r="682" spans="2:43" x14ac:dyDescent="0.3">
      <c r="B682" s="161"/>
      <c r="C682" s="162"/>
      <c r="D682" s="162"/>
      <c r="E682" s="163"/>
      <c r="F682" s="192"/>
      <c r="G682" s="192"/>
      <c r="H682" s="192"/>
      <c r="I682" s="192"/>
      <c r="J682" s="189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1"/>
      <c r="V682" s="171"/>
      <c r="W682" s="172"/>
      <c r="X682" s="172"/>
      <c r="Y682" s="173"/>
      <c r="Z682" s="199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  <c r="AK682" s="201"/>
      <c r="AL682" s="164"/>
      <c r="AM682" s="164"/>
      <c r="AN682" s="164"/>
      <c r="AO682" s="164"/>
      <c r="AP682" s="164"/>
      <c r="AQ682" s="164"/>
    </row>
    <row r="683" spans="2:43" x14ac:dyDescent="0.3">
      <c r="B683" s="161"/>
      <c r="C683" s="162"/>
      <c r="D683" s="162"/>
      <c r="E683" s="163"/>
      <c r="F683" s="192"/>
      <c r="G683" s="192"/>
      <c r="H683" s="192"/>
      <c r="I683" s="192"/>
      <c r="J683" s="183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5"/>
      <c r="V683" s="165"/>
      <c r="W683" s="166"/>
      <c r="X683" s="166"/>
      <c r="Y683" s="167"/>
      <c r="Z683" s="196"/>
      <c r="AA683" s="197"/>
      <c r="AB683" s="197"/>
      <c r="AC683" s="197"/>
      <c r="AD683" s="197"/>
      <c r="AE683" s="197"/>
      <c r="AF683" s="197"/>
      <c r="AG683" s="197"/>
      <c r="AH683" s="197"/>
      <c r="AI683" s="197"/>
      <c r="AJ683" s="197"/>
      <c r="AK683" s="198"/>
      <c r="AL683" s="164"/>
      <c r="AM683" s="164"/>
      <c r="AN683" s="164"/>
      <c r="AO683" s="164"/>
      <c r="AP683" s="164"/>
      <c r="AQ683" s="164"/>
    </row>
    <row r="684" spans="2:43" x14ac:dyDescent="0.3">
      <c r="B684" s="161"/>
      <c r="C684" s="162"/>
      <c r="D684" s="162"/>
      <c r="E684" s="163"/>
      <c r="F684" s="192"/>
      <c r="G684" s="192"/>
      <c r="H684" s="192"/>
      <c r="I684" s="192"/>
      <c r="J684" s="186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8"/>
      <c r="V684" s="168"/>
      <c r="W684" s="169"/>
      <c r="X684" s="169"/>
      <c r="Y684" s="170"/>
      <c r="Z684" s="193"/>
      <c r="AA684" s="194"/>
      <c r="AB684" s="194"/>
      <c r="AC684" s="194"/>
      <c r="AD684" s="194"/>
      <c r="AE684" s="194"/>
      <c r="AF684" s="194"/>
      <c r="AG684" s="194"/>
      <c r="AH684" s="194"/>
      <c r="AI684" s="194"/>
      <c r="AJ684" s="194"/>
      <c r="AK684" s="195"/>
      <c r="AL684" s="164"/>
      <c r="AM684" s="164"/>
      <c r="AN684" s="164"/>
      <c r="AO684" s="164"/>
      <c r="AP684" s="164"/>
      <c r="AQ684" s="164"/>
    </row>
    <row r="685" spans="2:43" x14ac:dyDescent="0.3">
      <c r="B685" s="161"/>
      <c r="C685" s="162"/>
      <c r="D685" s="162"/>
      <c r="E685" s="163"/>
      <c r="F685" s="192"/>
      <c r="G685" s="192"/>
      <c r="H685" s="192"/>
      <c r="I685" s="192"/>
      <c r="J685" s="186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8"/>
      <c r="V685" s="168"/>
      <c r="W685" s="169"/>
      <c r="X685" s="169"/>
      <c r="Y685" s="170"/>
      <c r="Z685" s="193"/>
      <c r="AA685" s="194"/>
      <c r="AB685" s="194"/>
      <c r="AC685" s="194"/>
      <c r="AD685" s="194"/>
      <c r="AE685" s="194"/>
      <c r="AF685" s="194"/>
      <c r="AG685" s="194"/>
      <c r="AH685" s="194"/>
      <c r="AI685" s="194"/>
      <c r="AJ685" s="194"/>
      <c r="AK685" s="195"/>
      <c r="AL685" s="164"/>
      <c r="AM685" s="164"/>
      <c r="AN685" s="164"/>
      <c r="AO685" s="164"/>
      <c r="AP685" s="164"/>
      <c r="AQ685" s="164"/>
    </row>
    <row r="686" spans="2:43" x14ac:dyDescent="0.3">
      <c r="B686" s="161"/>
      <c r="C686" s="162"/>
      <c r="D686" s="162"/>
      <c r="E686" s="163"/>
      <c r="F686" s="192"/>
      <c r="G686" s="192"/>
      <c r="H686" s="192"/>
      <c r="I686" s="192"/>
      <c r="J686" s="186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8"/>
      <c r="V686" s="168"/>
      <c r="W686" s="169"/>
      <c r="X686" s="169"/>
      <c r="Y686" s="170"/>
      <c r="Z686" s="193"/>
      <c r="AA686" s="194"/>
      <c r="AB686" s="194"/>
      <c r="AC686" s="194"/>
      <c r="AD686" s="194"/>
      <c r="AE686" s="194"/>
      <c r="AF686" s="194"/>
      <c r="AG686" s="194"/>
      <c r="AH686" s="194"/>
      <c r="AI686" s="194"/>
      <c r="AJ686" s="194"/>
      <c r="AK686" s="195"/>
      <c r="AL686" s="164"/>
      <c r="AM686" s="164"/>
      <c r="AN686" s="164"/>
      <c r="AO686" s="164"/>
      <c r="AP686" s="164"/>
      <c r="AQ686" s="164"/>
    </row>
    <row r="687" spans="2:43" x14ac:dyDescent="0.3">
      <c r="B687" s="161"/>
      <c r="C687" s="162"/>
      <c r="D687" s="162"/>
      <c r="E687" s="163"/>
      <c r="F687" s="192"/>
      <c r="G687" s="192"/>
      <c r="H687" s="192"/>
      <c r="I687" s="192"/>
      <c r="J687" s="186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8"/>
      <c r="V687" s="168"/>
      <c r="W687" s="169"/>
      <c r="X687" s="169"/>
      <c r="Y687" s="170"/>
      <c r="Z687" s="193"/>
      <c r="AA687" s="194"/>
      <c r="AB687" s="194"/>
      <c r="AC687" s="194"/>
      <c r="AD687" s="194"/>
      <c r="AE687" s="194"/>
      <c r="AF687" s="194"/>
      <c r="AG687" s="194"/>
      <c r="AH687" s="194"/>
      <c r="AI687" s="194"/>
      <c r="AJ687" s="194"/>
      <c r="AK687" s="195"/>
      <c r="AL687" s="164"/>
      <c r="AM687" s="164"/>
      <c r="AN687" s="164"/>
      <c r="AO687" s="164"/>
      <c r="AP687" s="164"/>
      <c r="AQ687" s="164"/>
    </row>
    <row r="688" spans="2:43" x14ac:dyDescent="0.3">
      <c r="B688" s="161"/>
      <c r="C688" s="162"/>
      <c r="D688" s="162"/>
      <c r="E688" s="163"/>
      <c r="F688" s="192"/>
      <c r="G688" s="192"/>
      <c r="H688" s="192"/>
      <c r="I688" s="192"/>
      <c r="J688" s="186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8"/>
      <c r="V688" s="168"/>
      <c r="W688" s="169"/>
      <c r="X688" s="169"/>
      <c r="Y688" s="170"/>
      <c r="Z688" s="193"/>
      <c r="AA688" s="194"/>
      <c r="AB688" s="194"/>
      <c r="AC688" s="194"/>
      <c r="AD688" s="194"/>
      <c r="AE688" s="194"/>
      <c r="AF688" s="194"/>
      <c r="AG688" s="194"/>
      <c r="AH688" s="194"/>
      <c r="AI688" s="194"/>
      <c r="AJ688" s="194"/>
      <c r="AK688" s="195"/>
      <c r="AL688" s="164"/>
      <c r="AM688" s="164"/>
      <c r="AN688" s="164"/>
      <c r="AO688" s="164"/>
      <c r="AP688" s="164"/>
      <c r="AQ688" s="164"/>
    </row>
    <row r="689" spans="2:43" x14ac:dyDescent="0.3">
      <c r="B689" s="161"/>
      <c r="C689" s="162"/>
      <c r="D689" s="162"/>
      <c r="E689" s="163"/>
      <c r="F689" s="192"/>
      <c r="G689" s="192"/>
      <c r="H689" s="192"/>
      <c r="I689" s="192"/>
      <c r="J689" s="186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8"/>
      <c r="V689" s="168"/>
      <c r="W689" s="169"/>
      <c r="X689" s="169"/>
      <c r="Y689" s="170"/>
      <c r="Z689" s="193"/>
      <c r="AA689" s="194"/>
      <c r="AB689" s="194"/>
      <c r="AC689" s="194"/>
      <c r="AD689" s="194"/>
      <c r="AE689" s="194"/>
      <c r="AF689" s="194"/>
      <c r="AG689" s="194"/>
      <c r="AH689" s="194"/>
      <c r="AI689" s="194"/>
      <c r="AJ689" s="194"/>
      <c r="AK689" s="195"/>
      <c r="AL689" s="164"/>
      <c r="AM689" s="164"/>
      <c r="AN689" s="164"/>
      <c r="AO689" s="164"/>
      <c r="AP689" s="164"/>
      <c r="AQ689" s="164"/>
    </row>
    <row r="690" spans="2:43" x14ac:dyDescent="0.3">
      <c r="B690" s="161"/>
      <c r="C690" s="162"/>
      <c r="D690" s="162"/>
      <c r="E690" s="163"/>
      <c r="F690" s="192"/>
      <c r="G690" s="192"/>
      <c r="H690" s="192"/>
      <c r="I690" s="192"/>
      <c r="J690" s="189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1"/>
      <c r="V690" s="171"/>
      <c r="W690" s="172"/>
      <c r="X690" s="172"/>
      <c r="Y690" s="173"/>
      <c r="Z690" s="199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  <c r="AK690" s="201"/>
      <c r="AL690" s="164"/>
      <c r="AM690" s="164"/>
      <c r="AN690" s="164"/>
      <c r="AO690" s="164"/>
      <c r="AP690" s="164"/>
      <c r="AQ690" s="164"/>
    </row>
    <row r="691" spans="2:43" x14ac:dyDescent="0.3">
      <c r="B691" s="161"/>
      <c r="C691" s="162"/>
      <c r="D691" s="162"/>
      <c r="E691" s="163"/>
      <c r="F691" s="192"/>
      <c r="G691" s="192"/>
      <c r="H691" s="192"/>
      <c r="I691" s="192"/>
      <c r="J691" s="183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5"/>
      <c r="V691" s="165"/>
      <c r="W691" s="166"/>
      <c r="X691" s="166"/>
      <c r="Y691" s="167"/>
      <c r="Z691" s="196"/>
      <c r="AA691" s="197"/>
      <c r="AB691" s="197"/>
      <c r="AC691" s="197"/>
      <c r="AD691" s="197"/>
      <c r="AE691" s="197"/>
      <c r="AF691" s="197"/>
      <c r="AG691" s="197"/>
      <c r="AH691" s="197"/>
      <c r="AI691" s="197"/>
      <c r="AJ691" s="197"/>
      <c r="AK691" s="198"/>
      <c r="AL691" s="164"/>
      <c r="AM691" s="164"/>
      <c r="AN691" s="164"/>
      <c r="AO691" s="164"/>
      <c r="AP691" s="164"/>
      <c r="AQ691" s="164"/>
    </row>
    <row r="692" spans="2:43" x14ac:dyDescent="0.3">
      <c r="B692" s="161"/>
      <c r="C692" s="162"/>
      <c r="D692" s="162"/>
      <c r="E692" s="163"/>
      <c r="F692" s="192"/>
      <c r="G692" s="192"/>
      <c r="H692" s="192"/>
      <c r="I692" s="192"/>
      <c r="J692" s="186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8"/>
      <c r="V692" s="168"/>
      <c r="W692" s="169"/>
      <c r="X692" s="169"/>
      <c r="Y692" s="170"/>
      <c r="Z692" s="193"/>
      <c r="AA692" s="194"/>
      <c r="AB692" s="194"/>
      <c r="AC692" s="194"/>
      <c r="AD692" s="194"/>
      <c r="AE692" s="194"/>
      <c r="AF692" s="194"/>
      <c r="AG692" s="194"/>
      <c r="AH692" s="194"/>
      <c r="AI692" s="194"/>
      <c r="AJ692" s="194"/>
      <c r="AK692" s="195"/>
      <c r="AL692" s="164"/>
      <c r="AM692" s="164"/>
      <c r="AN692" s="164"/>
      <c r="AO692" s="164"/>
      <c r="AP692" s="164"/>
      <c r="AQ692" s="164"/>
    </row>
    <row r="693" spans="2:43" x14ac:dyDescent="0.3">
      <c r="B693" s="161"/>
      <c r="C693" s="162"/>
      <c r="D693" s="162"/>
      <c r="E693" s="163"/>
      <c r="F693" s="192"/>
      <c r="G693" s="192"/>
      <c r="H693" s="192"/>
      <c r="I693" s="192"/>
      <c r="J693" s="186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8"/>
      <c r="V693" s="168"/>
      <c r="W693" s="169"/>
      <c r="X693" s="169"/>
      <c r="Y693" s="170"/>
      <c r="Z693" s="193"/>
      <c r="AA693" s="194"/>
      <c r="AB693" s="194"/>
      <c r="AC693" s="194"/>
      <c r="AD693" s="194"/>
      <c r="AE693" s="194"/>
      <c r="AF693" s="194"/>
      <c r="AG693" s="194"/>
      <c r="AH693" s="194"/>
      <c r="AI693" s="194"/>
      <c r="AJ693" s="194"/>
      <c r="AK693" s="195"/>
      <c r="AL693" s="164"/>
      <c r="AM693" s="164"/>
      <c r="AN693" s="164"/>
      <c r="AO693" s="164"/>
      <c r="AP693" s="164"/>
      <c r="AQ693" s="164"/>
    </row>
    <row r="694" spans="2:43" x14ac:dyDescent="0.3">
      <c r="B694" s="161"/>
      <c r="C694" s="162"/>
      <c r="D694" s="162"/>
      <c r="E694" s="163"/>
      <c r="F694" s="192"/>
      <c r="G694" s="192"/>
      <c r="H694" s="192"/>
      <c r="I694" s="192"/>
      <c r="J694" s="186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8"/>
      <c r="V694" s="168"/>
      <c r="W694" s="169"/>
      <c r="X694" s="169"/>
      <c r="Y694" s="170"/>
      <c r="Z694" s="193"/>
      <c r="AA694" s="194"/>
      <c r="AB694" s="194"/>
      <c r="AC694" s="194"/>
      <c r="AD694" s="194"/>
      <c r="AE694" s="194"/>
      <c r="AF694" s="194"/>
      <c r="AG694" s="194"/>
      <c r="AH694" s="194"/>
      <c r="AI694" s="194"/>
      <c r="AJ694" s="194"/>
      <c r="AK694" s="195"/>
      <c r="AL694" s="164"/>
      <c r="AM694" s="164"/>
      <c r="AN694" s="164"/>
      <c r="AO694" s="164"/>
      <c r="AP694" s="164"/>
      <c r="AQ694" s="164"/>
    </row>
    <row r="695" spans="2:43" x14ac:dyDescent="0.3">
      <c r="B695" s="161"/>
      <c r="C695" s="162"/>
      <c r="D695" s="162"/>
      <c r="E695" s="163"/>
      <c r="F695" s="192"/>
      <c r="G695" s="192"/>
      <c r="H695" s="192"/>
      <c r="I695" s="192"/>
      <c r="J695" s="186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8"/>
      <c r="V695" s="168"/>
      <c r="W695" s="169"/>
      <c r="X695" s="169"/>
      <c r="Y695" s="170"/>
      <c r="Z695" s="193"/>
      <c r="AA695" s="194"/>
      <c r="AB695" s="194"/>
      <c r="AC695" s="194"/>
      <c r="AD695" s="194"/>
      <c r="AE695" s="194"/>
      <c r="AF695" s="194"/>
      <c r="AG695" s="194"/>
      <c r="AH695" s="194"/>
      <c r="AI695" s="194"/>
      <c r="AJ695" s="194"/>
      <c r="AK695" s="195"/>
      <c r="AL695" s="164"/>
      <c r="AM695" s="164"/>
      <c r="AN695" s="164"/>
      <c r="AO695" s="164"/>
      <c r="AP695" s="164"/>
      <c r="AQ695" s="164"/>
    </row>
    <row r="696" spans="2:43" x14ac:dyDescent="0.3">
      <c r="B696" s="161"/>
      <c r="C696" s="162"/>
      <c r="D696" s="162"/>
      <c r="E696" s="163"/>
      <c r="F696" s="192"/>
      <c r="G696" s="192"/>
      <c r="H696" s="192"/>
      <c r="I696" s="192"/>
      <c r="J696" s="186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8"/>
      <c r="V696" s="168"/>
      <c r="W696" s="169"/>
      <c r="X696" s="169"/>
      <c r="Y696" s="170"/>
      <c r="Z696" s="193"/>
      <c r="AA696" s="194"/>
      <c r="AB696" s="194"/>
      <c r="AC696" s="194"/>
      <c r="AD696" s="194"/>
      <c r="AE696" s="194"/>
      <c r="AF696" s="194"/>
      <c r="AG696" s="194"/>
      <c r="AH696" s="194"/>
      <c r="AI696" s="194"/>
      <c r="AJ696" s="194"/>
      <c r="AK696" s="195"/>
      <c r="AL696" s="164"/>
      <c r="AM696" s="164"/>
      <c r="AN696" s="164"/>
      <c r="AO696" s="164"/>
      <c r="AP696" s="164"/>
      <c r="AQ696" s="164"/>
    </row>
    <row r="697" spans="2:43" x14ac:dyDescent="0.3">
      <c r="B697" s="161"/>
      <c r="C697" s="162"/>
      <c r="D697" s="162"/>
      <c r="E697" s="163"/>
      <c r="F697" s="192"/>
      <c r="G697" s="192"/>
      <c r="H697" s="192"/>
      <c r="I697" s="192"/>
      <c r="J697" s="186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8"/>
      <c r="V697" s="168"/>
      <c r="W697" s="169"/>
      <c r="X697" s="169"/>
      <c r="Y697" s="170"/>
      <c r="Z697" s="193"/>
      <c r="AA697" s="194"/>
      <c r="AB697" s="194"/>
      <c r="AC697" s="194"/>
      <c r="AD697" s="194"/>
      <c r="AE697" s="194"/>
      <c r="AF697" s="194"/>
      <c r="AG697" s="194"/>
      <c r="AH697" s="194"/>
      <c r="AI697" s="194"/>
      <c r="AJ697" s="194"/>
      <c r="AK697" s="195"/>
      <c r="AL697" s="164"/>
      <c r="AM697" s="164"/>
      <c r="AN697" s="164"/>
      <c r="AO697" s="164"/>
      <c r="AP697" s="164"/>
      <c r="AQ697" s="164"/>
    </row>
    <row r="698" spans="2:43" x14ac:dyDescent="0.3">
      <c r="B698" s="161"/>
      <c r="C698" s="162"/>
      <c r="D698" s="162"/>
      <c r="E698" s="163"/>
      <c r="F698" s="192"/>
      <c r="G698" s="192"/>
      <c r="H698" s="192"/>
      <c r="I698" s="192"/>
      <c r="J698" s="189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1"/>
      <c r="V698" s="171"/>
      <c r="W698" s="172"/>
      <c r="X698" s="172"/>
      <c r="Y698" s="173"/>
      <c r="Z698" s="199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  <c r="AK698" s="201"/>
      <c r="AL698" s="164"/>
      <c r="AM698" s="164"/>
      <c r="AN698" s="164"/>
      <c r="AO698" s="164"/>
      <c r="AP698" s="164"/>
      <c r="AQ698" s="164"/>
    </row>
    <row r="699" spans="2:43" x14ac:dyDescent="0.3">
      <c r="B699" s="161"/>
      <c r="C699" s="162"/>
      <c r="D699" s="162"/>
      <c r="E699" s="163"/>
      <c r="F699" s="192"/>
      <c r="G699" s="192"/>
      <c r="H699" s="192"/>
      <c r="I699" s="192"/>
      <c r="J699" s="183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5"/>
      <c r="V699" s="165"/>
      <c r="W699" s="166"/>
      <c r="X699" s="166"/>
      <c r="Y699" s="167"/>
      <c r="Z699" s="196"/>
      <c r="AA699" s="197"/>
      <c r="AB699" s="197"/>
      <c r="AC699" s="197"/>
      <c r="AD699" s="197"/>
      <c r="AE699" s="197"/>
      <c r="AF699" s="197"/>
      <c r="AG699" s="197"/>
      <c r="AH699" s="197"/>
      <c r="AI699" s="197"/>
      <c r="AJ699" s="197"/>
      <c r="AK699" s="198"/>
      <c r="AL699" s="164"/>
      <c r="AM699" s="164"/>
      <c r="AN699" s="164"/>
      <c r="AO699" s="164"/>
      <c r="AP699" s="164"/>
      <c r="AQ699" s="164"/>
    </row>
    <row r="700" spans="2:43" x14ac:dyDescent="0.3">
      <c r="B700" s="161"/>
      <c r="C700" s="162"/>
      <c r="D700" s="162"/>
      <c r="E700" s="163"/>
      <c r="F700" s="192"/>
      <c r="G700" s="192"/>
      <c r="H700" s="192"/>
      <c r="I700" s="192"/>
      <c r="J700" s="186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8"/>
      <c r="V700" s="168"/>
      <c r="W700" s="169"/>
      <c r="X700" s="169"/>
      <c r="Y700" s="170"/>
      <c r="Z700" s="193"/>
      <c r="AA700" s="194"/>
      <c r="AB700" s="194"/>
      <c r="AC700" s="194"/>
      <c r="AD700" s="194"/>
      <c r="AE700" s="194"/>
      <c r="AF700" s="194"/>
      <c r="AG700" s="194"/>
      <c r="AH700" s="194"/>
      <c r="AI700" s="194"/>
      <c r="AJ700" s="194"/>
      <c r="AK700" s="195"/>
      <c r="AL700" s="164"/>
      <c r="AM700" s="164"/>
      <c r="AN700" s="164"/>
      <c r="AO700" s="164"/>
      <c r="AP700" s="164"/>
      <c r="AQ700" s="164"/>
    </row>
    <row r="701" spans="2:43" x14ac:dyDescent="0.3">
      <c r="B701" s="161"/>
      <c r="C701" s="162"/>
      <c r="D701" s="162"/>
      <c r="E701" s="163"/>
      <c r="F701" s="192"/>
      <c r="G701" s="192"/>
      <c r="H701" s="192"/>
      <c r="I701" s="192"/>
      <c r="J701" s="186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8"/>
      <c r="V701" s="168"/>
      <c r="W701" s="169"/>
      <c r="X701" s="169"/>
      <c r="Y701" s="170"/>
      <c r="Z701" s="193"/>
      <c r="AA701" s="194"/>
      <c r="AB701" s="194"/>
      <c r="AC701" s="194"/>
      <c r="AD701" s="194"/>
      <c r="AE701" s="194"/>
      <c r="AF701" s="194"/>
      <c r="AG701" s="194"/>
      <c r="AH701" s="194"/>
      <c r="AI701" s="194"/>
      <c r="AJ701" s="194"/>
      <c r="AK701" s="195"/>
      <c r="AL701" s="164"/>
      <c r="AM701" s="164"/>
      <c r="AN701" s="164"/>
      <c r="AO701" s="164"/>
      <c r="AP701" s="164"/>
      <c r="AQ701" s="164"/>
    </row>
    <row r="702" spans="2:43" x14ac:dyDescent="0.3">
      <c r="B702" s="161"/>
      <c r="C702" s="162"/>
      <c r="D702" s="162"/>
      <c r="E702" s="163"/>
      <c r="F702" s="192"/>
      <c r="G702" s="192"/>
      <c r="H702" s="192"/>
      <c r="I702" s="192"/>
      <c r="J702" s="186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8"/>
      <c r="V702" s="168"/>
      <c r="W702" s="169"/>
      <c r="X702" s="169"/>
      <c r="Y702" s="170"/>
      <c r="Z702" s="193"/>
      <c r="AA702" s="194"/>
      <c r="AB702" s="194"/>
      <c r="AC702" s="194"/>
      <c r="AD702" s="194"/>
      <c r="AE702" s="194"/>
      <c r="AF702" s="194"/>
      <c r="AG702" s="194"/>
      <c r="AH702" s="194"/>
      <c r="AI702" s="194"/>
      <c r="AJ702" s="194"/>
      <c r="AK702" s="195"/>
      <c r="AL702" s="164"/>
      <c r="AM702" s="164"/>
      <c r="AN702" s="164"/>
      <c r="AO702" s="164"/>
      <c r="AP702" s="164"/>
      <c r="AQ702" s="164"/>
    </row>
    <row r="703" spans="2:43" x14ac:dyDescent="0.3">
      <c r="B703" s="161"/>
      <c r="C703" s="162"/>
      <c r="D703" s="162"/>
      <c r="E703" s="163"/>
      <c r="F703" s="192"/>
      <c r="G703" s="192"/>
      <c r="H703" s="192"/>
      <c r="I703" s="192"/>
      <c r="J703" s="186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8"/>
      <c r="V703" s="168"/>
      <c r="W703" s="169"/>
      <c r="X703" s="169"/>
      <c r="Y703" s="170"/>
      <c r="Z703" s="193"/>
      <c r="AA703" s="194"/>
      <c r="AB703" s="194"/>
      <c r="AC703" s="194"/>
      <c r="AD703" s="194"/>
      <c r="AE703" s="194"/>
      <c r="AF703" s="194"/>
      <c r="AG703" s="194"/>
      <c r="AH703" s="194"/>
      <c r="AI703" s="194"/>
      <c r="AJ703" s="194"/>
      <c r="AK703" s="195"/>
      <c r="AL703" s="164"/>
      <c r="AM703" s="164"/>
      <c r="AN703" s="164"/>
      <c r="AO703" s="164"/>
      <c r="AP703" s="164"/>
      <c r="AQ703" s="164"/>
    </row>
    <row r="704" spans="2:43" x14ac:dyDescent="0.3">
      <c r="B704" s="161"/>
      <c r="C704" s="162"/>
      <c r="D704" s="162"/>
      <c r="E704" s="163"/>
      <c r="F704" s="192"/>
      <c r="G704" s="192"/>
      <c r="H704" s="192"/>
      <c r="I704" s="192"/>
      <c r="J704" s="186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8"/>
      <c r="V704" s="168"/>
      <c r="W704" s="169"/>
      <c r="X704" s="169"/>
      <c r="Y704" s="170"/>
      <c r="Z704" s="193"/>
      <c r="AA704" s="194"/>
      <c r="AB704" s="194"/>
      <c r="AC704" s="194"/>
      <c r="AD704" s="194"/>
      <c r="AE704" s="194"/>
      <c r="AF704" s="194"/>
      <c r="AG704" s="194"/>
      <c r="AH704" s="194"/>
      <c r="AI704" s="194"/>
      <c r="AJ704" s="194"/>
      <c r="AK704" s="195"/>
      <c r="AL704" s="164"/>
      <c r="AM704" s="164"/>
      <c r="AN704" s="164"/>
      <c r="AO704" s="164"/>
      <c r="AP704" s="164"/>
      <c r="AQ704" s="164"/>
    </row>
    <row r="705" spans="2:43" x14ac:dyDescent="0.3">
      <c r="B705" s="161"/>
      <c r="C705" s="162"/>
      <c r="D705" s="162"/>
      <c r="E705" s="163"/>
      <c r="F705" s="192"/>
      <c r="G705" s="192"/>
      <c r="H705" s="192"/>
      <c r="I705" s="192"/>
      <c r="J705" s="186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8"/>
      <c r="V705" s="168"/>
      <c r="W705" s="169"/>
      <c r="X705" s="169"/>
      <c r="Y705" s="170"/>
      <c r="Z705" s="193"/>
      <c r="AA705" s="194"/>
      <c r="AB705" s="194"/>
      <c r="AC705" s="194"/>
      <c r="AD705" s="194"/>
      <c r="AE705" s="194"/>
      <c r="AF705" s="194"/>
      <c r="AG705" s="194"/>
      <c r="AH705" s="194"/>
      <c r="AI705" s="194"/>
      <c r="AJ705" s="194"/>
      <c r="AK705" s="195"/>
      <c r="AL705" s="164"/>
      <c r="AM705" s="164"/>
      <c r="AN705" s="164"/>
      <c r="AO705" s="164"/>
      <c r="AP705" s="164"/>
      <c r="AQ705" s="164"/>
    </row>
    <row r="706" spans="2:43" x14ac:dyDescent="0.3">
      <c r="B706" s="161"/>
      <c r="C706" s="162"/>
      <c r="D706" s="162"/>
      <c r="E706" s="163"/>
      <c r="F706" s="192"/>
      <c r="G706" s="192"/>
      <c r="H706" s="192"/>
      <c r="I706" s="192"/>
      <c r="J706" s="189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1"/>
      <c r="V706" s="171"/>
      <c r="W706" s="172"/>
      <c r="X706" s="172"/>
      <c r="Y706" s="173"/>
      <c r="Z706" s="199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  <c r="AK706" s="201"/>
      <c r="AL706" s="164"/>
      <c r="AM706" s="164"/>
      <c r="AN706" s="164"/>
      <c r="AO706" s="164"/>
      <c r="AP706" s="164"/>
      <c r="AQ706" s="164"/>
    </row>
    <row r="707" spans="2:43" x14ac:dyDescent="0.3">
      <c r="B707" s="161"/>
      <c r="C707" s="162"/>
      <c r="D707" s="162"/>
      <c r="E707" s="163"/>
      <c r="F707" s="192"/>
      <c r="G707" s="192"/>
      <c r="H707" s="192"/>
      <c r="I707" s="192"/>
      <c r="J707" s="183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5"/>
      <c r="V707" s="165"/>
      <c r="W707" s="166"/>
      <c r="X707" s="166"/>
      <c r="Y707" s="167"/>
      <c r="Z707" s="196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97"/>
      <c r="AK707" s="198"/>
      <c r="AL707" s="164"/>
      <c r="AM707" s="164"/>
      <c r="AN707" s="164"/>
      <c r="AO707" s="164"/>
      <c r="AP707" s="164"/>
      <c r="AQ707" s="164"/>
    </row>
    <row r="708" spans="2:43" x14ac:dyDescent="0.3">
      <c r="B708" s="161"/>
      <c r="C708" s="162"/>
      <c r="D708" s="162"/>
      <c r="E708" s="163"/>
      <c r="F708" s="192"/>
      <c r="G708" s="192"/>
      <c r="H708" s="192"/>
      <c r="I708" s="192"/>
      <c r="J708" s="186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8"/>
      <c r="V708" s="168"/>
      <c r="W708" s="169"/>
      <c r="X708" s="169"/>
      <c r="Y708" s="170"/>
      <c r="Z708" s="193"/>
      <c r="AA708" s="194"/>
      <c r="AB708" s="194"/>
      <c r="AC708" s="194"/>
      <c r="AD708" s="194"/>
      <c r="AE708" s="194"/>
      <c r="AF708" s="194"/>
      <c r="AG708" s="194"/>
      <c r="AH708" s="194"/>
      <c r="AI708" s="194"/>
      <c r="AJ708" s="194"/>
      <c r="AK708" s="195"/>
      <c r="AL708" s="164"/>
      <c r="AM708" s="164"/>
      <c r="AN708" s="164"/>
      <c r="AO708" s="164"/>
      <c r="AP708" s="164"/>
      <c r="AQ708" s="164"/>
    </row>
    <row r="709" spans="2:43" x14ac:dyDescent="0.3">
      <c r="B709" s="161"/>
      <c r="C709" s="162"/>
      <c r="D709" s="162"/>
      <c r="E709" s="163"/>
      <c r="F709" s="192"/>
      <c r="G709" s="192"/>
      <c r="H709" s="192"/>
      <c r="I709" s="192"/>
      <c r="J709" s="186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8"/>
      <c r="V709" s="168"/>
      <c r="W709" s="169"/>
      <c r="X709" s="169"/>
      <c r="Y709" s="170"/>
      <c r="Z709" s="193"/>
      <c r="AA709" s="194"/>
      <c r="AB709" s="194"/>
      <c r="AC709" s="194"/>
      <c r="AD709" s="194"/>
      <c r="AE709" s="194"/>
      <c r="AF709" s="194"/>
      <c r="AG709" s="194"/>
      <c r="AH709" s="194"/>
      <c r="AI709" s="194"/>
      <c r="AJ709" s="194"/>
      <c r="AK709" s="195"/>
      <c r="AL709" s="164"/>
      <c r="AM709" s="164"/>
      <c r="AN709" s="164"/>
      <c r="AO709" s="164"/>
      <c r="AP709" s="164"/>
      <c r="AQ709" s="164"/>
    </row>
    <row r="710" spans="2:43" x14ac:dyDescent="0.3">
      <c r="B710" s="161"/>
      <c r="C710" s="162"/>
      <c r="D710" s="162"/>
      <c r="E710" s="163"/>
      <c r="F710" s="192"/>
      <c r="G710" s="192"/>
      <c r="H710" s="192"/>
      <c r="I710" s="192"/>
      <c r="J710" s="186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8"/>
      <c r="V710" s="168"/>
      <c r="W710" s="169"/>
      <c r="X710" s="169"/>
      <c r="Y710" s="170"/>
      <c r="Z710" s="193"/>
      <c r="AA710" s="194"/>
      <c r="AB710" s="194"/>
      <c r="AC710" s="194"/>
      <c r="AD710" s="194"/>
      <c r="AE710" s="194"/>
      <c r="AF710" s="194"/>
      <c r="AG710" s="194"/>
      <c r="AH710" s="194"/>
      <c r="AI710" s="194"/>
      <c r="AJ710" s="194"/>
      <c r="AK710" s="195"/>
      <c r="AL710" s="164"/>
      <c r="AM710" s="164"/>
      <c r="AN710" s="164"/>
      <c r="AO710" s="164"/>
      <c r="AP710" s="164"/>
      <c r="AQ710" s="164"/>
    </row>
    <row r="711" spans="2:43" x14ac:dyDescent="0.3">
      <c r="B711" s="161"/>
      <c r="C711" s="162"/>
      <c r="D711" s="162"/>
      <c r="E711" s="163"/>
      <c r="F711" s="192"/>
      <c r="G711" s="192"/>
      <c r="H711" s="192"/>
      <c r="I711" s="192"/>
      <c r="J711" s="186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8"/>
      <c r="V711" s="168"/>
      <c r="W711" s="169"/>
      <c r="X711" s="169"/>
      <c r="Y711" s="170"/>
      <c r="Z711" s="193"/>
      <c r="AA711" s="194"/>
      <c r="AB711" s="194"/>
      <c r="AC711" s="194"/>
      <c r="AD711" s="194"/>
      <c r="AE711" s="194"/>
      <c r="AF711" s="194"/>
      <c r="AG711" s="194"/>
      <c r="AH711" s="194"/>
      <c r="AI711" s="194"/>
      <c r="AJ711" s="194"/>
      <c r="AK711" s="195"/>
      <c r="AL711" s="164"/>
      <c r="AM711" s="164"/>
      <c r="AN711" s="164"/>
      <c r="AO711" s="164"/>
      <c r="AP711" s="164"/>
      <c r="AQ711" s="164"/>
    </row>
    <row r="712" spans="2:43" x14ac:dyDescent="0.3">
      <c r="B712" s="161"/>
      <c r="C712" s="162"/>
      <c r="D712" s="162"/>
      <c r="E712" s="163"/>
      <c r="F712" s="192"/>
      <c r="G712" s="192"/>
      <c r="H712" s="192"/>
      <c r="I712" s="192"/>
      <c r="J712" s="186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8"/>
      <c r="V712" s="168"/>
      <c r="W712" s="169"/>
      <c r="X712" s="169"/>
      <c r="Y712" s="170"/>
      <c r="Z712" s="193"/>
      <c r="AA712" s="194"/>
      <c r="AB712" s="194"/>
      <c r="AC712" s="194"/>
      <c r="AD712" s="194"/>
      <c r="AE712" s="194"/>
      <c r="AF712" s="194"/>
      <c r="AG712" s="194"/>
      <c r="AH712" s="194"/>
      <c r="AI712" s="194"/>
      <c r="AJ712" s="194"/>
      <c r="AK712" s="195"/>
      <c r="AL712" s="164"/>
      <c r="AM712" s="164"/>
      <c r="AN712" s="164"/>
      <c r="AO712" s="164"/>
      <c r="AP712" s="164"/>
      <c r="AQ712" s="164"/>
    </row>
    <row r="713" spans="2:43" x14ac:dyDescent="0.3">
      <c r="B713" s="161"/>
      <c r="C713" s="162"/>
      <c r="D713" s="162"/>
      <c r="E713" s="163"/>
      <c r="F713" s="192"/>
      <c r="G713" s="192"/>
      <c r="H713" s="192"/>
      <c r="I713" s="192"/>
      <c r="J713" s="186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8"/>
      <c r="V713" s="168"/>
      <c r="W713" s="169"/>
      <c r="X713" s="169"/>
      <c r="Y713" s="170"/>
      <c r="Z713" s="193"/>
      <c r="AA713" s="194"/>
      <c r="AB713" s="194"/>
      <c r="AC713" s="194"/>
      <c r="AD713" s="194"/>
      <c r="AE713" s="194"/>
      <c r="AF713" s="194"/>
      <c r="AG713" s="194"/>
      <c r="AH713" s="194"/>
      <c r="AI713" s="194"/>
      <c r="AJ713" s="194"/>
      <c r="AK713" s="195"/>
      <c r="AL713" s="164"/>
      <c r="AM713" s="164"/>
      <c r="AN713" s="164"/>
      <c r="AO713" s="164"/>
      <c r="AP713" s="164"/>
      <c r="AQ713" s="164"/>
    </row>
    <row r="714" spans="2:43" x14ac:dyDescent="0.3">
      <c r="B714" s="161"/>
      <c r="C714" s="162"/>
      <c r="D714" s="162"/>
      <c r="E714" s="163"/>
      <c r="F714" s="192"/>
      <c r="G714" s="192"/>
      <c r="H714" s="192"/>
      <c r="I714" s="192"/>
      <c r="J714" s="189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1"/>
      <c r="V714" s="171"/>
      <c r="W714" s="172"/>
      <c r="X714" s="172"/>
      <c r="Y714" s="173"/>
      <c r="Z714" s="199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  <c r="AK714" s="201"/>
      <c r="AL714" s="164"/>
      <c r="AM714" s="164"/>
      <c r="AN714" s="164"/>
      <c r="AO714" s="164"/>
      <c r="AP714" s="164"/>
      <c r="AQ714" s="164"/>
    </row>
    <row r="715" spans="2:43" x14ac:dyDescent="0.3">
      <c r="B715" s="161"/>
      <c r="C715" s="162"/>
      <c r="D715" s="162"/>
      <c r="E715" s="163"/>
      <c r="F715" s="192"/>
      <c r="G715" s="192"/>
      <c r="H715" s="192"/>
      <c r="I715" s="192"/>
      <c r="J715" s="183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5"/>
      <c r="V715" s="165"/>
      <c r="W715" s="166"/>
      <c r="X715" s="166"/>
      <c r="Y715" s="167"/>
      <c r="Z715" s="196"/>
      <c r="AA715" s="197"/>
      <c r="AB715" s="197"/>
      <c r="AC715" s="197"/>
      <c r="AD715" s="197"/>
      <c r="AE715" s="197"/>
      <c r="AF715" s="197"/>
      <c r="AG715" s="197"/>
      <c r="AH715" s="197"/>
      <c r="AI715" s="197"/>
      <c r="AJ715" s="197"/>
      <c r="AK715" s="198"/>
      <c r="AL715" s="164"/>
      <c r="AM715" s="164"/>
      <c r="AN715" s="164"/>
      <c r="AO715" s="164"/>
      <c r="AP715" s="164"/>
      <c r="AQ715" s="164"/>
    </row>
    <row r="716" spans="2:43" x14ac:dyDescent="0.3">
      <c r="B716" s="161"/>
      <c r="C716" s="162"/>
      <c r="D716" s="162"/>
      <c r="E716" s="163"/>
      <c r="F716" s="192"/>
      <c r="G716" s="192"/>
      <c r="H716" s="192"/>
      <c r="I716" s="192"/>
      <c r="J716" s="186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8"/>
      <c r="V716" s="168"/>
      <c r="W716" s="169"/>
      <c r="X716" s="169"/>
      <c r="Y716" s="170"/>
      <c r="Z716" s="193"/>
      <c r="AA716" s="194"/>
      <c r="AB716" s="194"/>
      <c r="AC716" s="194"/>
      <c r="AD716" s="194"/>
      <c r="AE716" s="194"/>
      <c r="AF716" s="194"/>
      <c r="AG716" s="194"/>
      <c r="AH716" s="194"/>
      <c r="AI716" s="194"/>
      <c r="AJ716" s="194"/>
      <c r="AK716" s="195"/>
      <c r="AL716" s="164"/>
      <c r="AM716" s="164"/>
      <c r="AN716" s="164"/>
      <c r="AO716" s="164"/>
      <c r="AP716" s="164"/>
      <c r="AQ716" s="164"/>
    </row>
    <row r="717" spans="2:43" x14ac:dyDescent="0.3">
      <c r="B717" s="161"/>
      <c r="C717" s="162"/>
      <c r="D717" s="162"/>
      <c r="E717" s="163"/>
      <c r="F717" s="192"/>
      <c r="G717" s="192"/>
      <c r="H717" s="192"/>
      <c r="I717" s="192"/>
      <c r="J717" s="186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8"/>
      <c r="V717" s="168"/>
      <c r="W717" s="169"/>
      <c r="X717" s="169"/>
      <c r="Y717" s="170"/>
      <c r="Z717" s="193"/>
      <c r="AA717" s="194"/>
      <c r="AB717" s="194"/>
      <c r="AC717" s="194"/>
      <c r="AD717" s="194"/>
      <c r="AE717" s="194"/>
      <c r="AF717" s="194"/>
      <c r="AG717" s="194"/>
      <c r="AH717" s="194"/>
      <c r="AI717" s="194"/>
      <c r="AJ717" s="194"/>
      <c r="AK717" s="195"/>
      <c r="AL717" s="164"/>
      <c r="AM717" s="164"/>
      <c r="AN717" s="164"/>
      <c r="AO717" s="164"/>
      <c r="AP717" s="164"/>
      <c r="AQ717" s="164"/>
    </row>
    <row r="718" spans="2:43" x14ac:dyDescent="0.3">
      <c r="B718" s="161"/>
      <c r="C718" s="162"/>
      <c r="D718" s="162"/>
      <c r="E718" s="163"/>
      <c r="F718" s="192"/>
      <c r="G718" s="192"/>
      <c r="H718" s="192"/>
      <c r="I718" s="192"/>
      <c r="J718" s="186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8"/>
      <c r="V718" s="168"/>
      <c r="W718" s="169"/>
      <c r="X718" s="169"/>
      <c r="Y718" s="170"/>
      <c r="Z718" s="193"/>
      <c r="AA718" s="194"/>
      <c r="AB718" s="194"/>
      <c r="AC718" s="194"/>
      <c r="AD718" s="194"/>
      <c r="AE718" s="194"/>
      <c r="AF718" s="194"/>
      <c r="AG718" s="194"/>
      <c r="AH718" s="194"/>
      <c r="AI718" s="194"/>
      <c r="AJ718" s="194"/>
      <c r="AK718" s="195"/>
      <c r="AL718" s="164"/>
      <c r="AM718" s="164"/>
      <c r="AN718" s="164"/>
      <c r="AO718" s="164"/>
      <c r="AP718" s="164"/>
      <c r="AQ718" s="164"/>
    </row>
    <row r="719" spans="2:43" x14ac:dyDescent="0.3">
      <c r="B719" s="161"/>
      <c r="C719" s="162"/>
      <c r="D719" s="162"/>
      <c r="E719" s="163"/>
      <c r="F719" s="192"/>
      <c r="G719" s="192"/>
      <c r="H719" s="192"/>
      <c r="I719" s="192"/>
      <c r="J719" s="186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8"/>
      <c r="V719" s="168"/>
      <c r="W719" s="169"/>
      <c r="X719" s="169"/>
      <c r="Y719" s="170"/>
      <c r="Z719" s="193"/>
      <c r="AA719" s="194"/>
      <c r="AB719" s="194"/>
      <c r="AC719" s="194"/>
      <c r="AD719" s="194"/>
      <c r="AE719" s="194"/>
      <c r="AF719" s="194"/>
      <c r="AG719" s="194"/>
      <c r="AH719" s="194"/>
      <c r="AI719" s="194"/>
      <c r="AJ719" s="194"/>
      <c r="AK719" s="195"/>
      <c r="AL719" s="164"/>
      <c r="AM719" s="164"/>
      <c r="AN719" s="164"/>
      <c r="AO719" s="164"/>
      <c r="AP719" s="164"/>
      <c r="AQ719" s="164"/>
    </row>
    <row r="720" spans="2:43" x14ac:dyDescent="0.3">
      <c r="B720" s="161"/>
      <c r="C720" s="162"/>
      <c r="D720" s="162"/>
      <c r="E720" s="163"/>
      <c r="F720" s="192"/>
      <c r="G720" s="192"/>
      <c r="H720" s="192"/>
      <c r="I720" s="192"/>
      <c r="J720" s="186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8"/>
      <c r="V720" s="168"/>
      <c r="W720" s="169"/>
      <c r="X720" s="169"/>
      <c r="Y720" s="170"/>
      <c r="Z720" s="193"/>
      <c r="AA720" s="194"/>
      <c r="AB720" s="194"/>
      <c r="AC720" s="194"/>
      <c r="AD720" s="194"/>
      <c r="AE720" s="194"/>
      <c r="AF720" s="194"/>
      <c r="AG720" s="194"/>
      <c r="AH720" s="194"/>
      <c r="AI720" s="194"/>
      <c r="AJ720" s="194"/>
      <c r="AK720" s="195"/>
      <c r="AL720" s="164"/>
      <c r="AM720" s="164"/>
      <c r="AN720" s="164"/>
      <c r="AO720" s="164"/>
      <c r="AP720" s="164"/>
      <c r="AQ720" s="164"/>
    </row>
    <row r="721" spans="2:43" x14ac:dyDescent="0.3">
      <c r="B721" s="161"/>
      <c r="C721" s="162"/>
      <c r="D721" s="162"/>
      <c r="E721" s="163"/>
      <c r="F721" s="192"/>
      <c r="G721" s="192"/>
      <c r="H721" s="192"/>
      <c r="I721" s="192"/>
      <c r="J721" s="186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8"/>
      <c r="V721" s="168"/>
      <c r="W721" s="169"/>
      <c r="X721" s="169"/>
      <c r="Y721" s="170"/>
      <c r="Z721" s="193"/>
      <c r="AA721" s="194"/>
      <c r="AB721" s="194"/>
      <c r="AC721" s="194"/>
      <c r="AD721" s="194"/>
      <c r="AE721" s="194"/>
      <c r="AF721" s="194"/>
      <c r="AG721" s="194"/>
      <c r="AH721" s="194"/>
      <c r="AI721" s="194"/>
      <c r="AJ721" s="194"/>
      <c r="AK721" s="195"/>
      <c r="AL721" s="164"/>
      <c r="AM721" s="164"/>
      <c r="AN721" s="164"/>
      <c r="AO721" s="164"/>
      <c r="AP721" s="164"/>
      <c r="AQ721" s="164"/>
    </row>
    <row r="722" spans="2:43" x14ac:dyDescent="0.3">
      <c r="B722" s="161"/>
      <c r="C722" s="162"/>
      <c r="D722" s="162"/>
      <c r="E722" s="163"/>
      <c r="F722" s="192"/>
      <c r="G722" s="192"/>
      <c r="H722" s="192"/>
      <c r="I722" s="192"/>
      <c r="J722" s="189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1"/>
      <c r="V722" s="171"/>
      <c r="W722" s="172"/>
      <c r="X722" s="172"/>
      <c r="Y722" s="173"/>
      <c r="Z722" s="199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  <c r="AK722" s="201"/>
      <c r="AL722" s="164"/>
      <c r="AM722" s="164"/>
      <c r="AN722" s="164"/>
      <c r="AO722" s="164"/>
      <c r="AP722" s="164"/>
      <c r="AQ722" s="164"/>
    </row>
    <row r="723" spans="2:43" x14ac:dyDescent="0.3">
      <c r="B723" s="161"/>
      <c r="C723" s="162"/>
      <c r="D723" s="162"/>
      <c r="E723" s="163"/>
      <c r="F723" s="192"/>
      <c r="G723" s="192"/>
      <c r="H723" s="192"/>
      <c r="I723" s="192"/>
      <c r="J723" s="174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6"/>
      <c r="V723" s="165"/>
      <c r="W723" s="166"/>
      <c r="X723" s="166"/>
      <c r="Y723" s="167"/>
      <c r="Z723" s="196"/>
      <c r="AA723" s="197"/>
      <c r="AB723" s="197"/>
      <c r="AC723" s="197"/>
      <c r="AD723" s="197"/>
      <c r="AE723" s="197"/>
      <c r="AF723" s="197"/>
      <c r="AG723" s="197"/>
      <c r="AH723" s="197"/>
      <c r="AI723" s="197"/>
      <c r="AJ723" s="197"/>
      <c r="AK723" s="198"/>
      <c r="AL723" s="164"/>
      <c r="AM723" s="164"/>
      <c r="AN723" s="164"/>
      <c r="AO723" s="164"/>
      <c r="AP723" s="164"/>
      <c r="AQ723" s="164"/>
    </row>
    <row r="724" spans="2:43" x14ac:dyDescent="0.3">
      <c r="B724" s="161"/>
      <c r="C724" s="162"/>
      <c r="D724" s="162"/>
      <c r="E724" s="163"/>
      <c r="F724" s="192"/>
      <c r="G724" s="192"/>
      <c r="H724" s="192"/>
      <c r="I724" s="192"/>
      <c r="J724" s="177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9"/>
      <c r="V724" s="168"/>
      <c r="W724" s="169"/>
      <c r="X724" s="169"/>
      <c r="Y724" s="170"/>
      <c r="Z724" s="193"/>
      <c r="AA724" s="194"/>
      <c r="AB724" s="194"/>
      <c r="AC724" s="194"/>
      <c r="AD724" s="194"/>
      <c r="AE724" s="194"/>
      <c r="AF724" s="194"/>
      <c r="AG724" s="194"/>
      <c r="AH724" s="194"/>
      <c r="AI724" s="194"/>
      <c r="AJ724" s="194"/>
      <c r="AK724" s="195"/>
      <c r="AL724" s="164"/>
      <c r="AM724" s="164"/>
      <c r="AN724" s="164"/>
      <c r="AO724" s="164"/>
      <c r="AP724" s="164"/>
      <c r="AQ724" s="164"/>
    </row>
    <row r="725" spans="2:43" x14ac:dyDescent="0.3">
      <c r="B725" s="161"/>
      <c r="C725" s="162"/>
      <c r="D725" s="162"/>
      <c r="E725" s="163"/>
      <c r="F725" s="192"/>
      <c r="G725" s="192"/>
      <c r="H725" s="192"/>
      <c r="I725" s="192"/>
      <c r="J725" s="177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9"/>
      <c r="V725" s="168"/>
      <c r="W725" s="169"/>
      <c r="X725" s="169"/>
      <c r="Y725" s="170"/>
      <c r="Z725" s="193"/>
      <c r="AA725" s="194"/>
      <c r="AB725" s="194"/>
      <c r="AC725" s="194"/>
      <c r="AD725" s="194"/>
      <c r="AE725" s="194"/>
      <c r="AF725" s="194"/>
      <c r="AG725" s="194"/>
      <c r="AH725" s="194"/>
      <c r="AI725" s="194"/>
      <c r="AJ725" s="194"/>
      <c r="AK725" s="195"/>
      <c r="AL725" s="164"/>
      <c r="AM725" s="164"/>
      <c r="AN725" s="164"/>
      <c r="AO725" s="164"/>
      <c r="AP725" s="164"/>
      <c r="AQ725" s="164"/>
    </row>
    <row r="726" spans="2:43" x14ac:dyDescent="0.3">
      <c r="B726" s="161"/>
      <c r="C726" s="162"/>
      <c r="D726" s="162"/>
      <c r="E726" s="163"/>
      <c r="F726" s="192"/>
      <c r="G726" s="192"/>
      <c r="H726" s="192"/>
      <c r="I726" s="192"/>
      <c r="J726" s="177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9"/>
      <c r="V726" s="168"/>
      <c r="W726" s="169"/>
      <c r="X726" s="169"/>
      <c r="Y726" s="170"/>
      <c r="Z726" s="193"/>
      <c r="AA726" s="194"/>
      <c r="AB726" s="194"/>
      <c r="AC726" s="194"/>
      <c r="AD726" s="194"/>
      <c r="AE726" s="194"/>
      <c r="AF726" s="194"/>
      <c r="AG726" s="194"/>
      <c r="AH726" s="194"/>
      <c r="AI726" s="194"/>
      <c r="AJ726" s="194"/>
      <c r="AK726" s="195"/>
      <c r="AL726" s="164"/>
      <c r="AM726" s="164"/>
      <c r="AN726" s="164"/>
      <c r="AO726" s="164"/>
      <c r="AP726" s="164"/>
      <c r="AQ726" s="164"/>
    </row>
    <row r="727" spans="2:43" x14ac:dyDescent="0.3">
      <c r="B727" s="161"/>
      <c r="C727" s="162"/>
      <c r="D727" s="162"/>
      <c r="E727" s="163"/>
      <c r="F727" s="192"/>
      <c r="G727" s="192"/>
      <c r="H727" s="192"/>
      <c r="I727" s="192"/>
      <c r="J727" s="177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9"/>
      <c r="V727" s="168"/>
      <c r="W727" s="169"/>
      <c r="X727" s="169"/>
      <c r="Y727" s="170"/>
      <c r="Z727" s="193"/>
      <c r="AA727" s="194"/>
      <c r="AB727" s="194"/>
      <c r="AC727" s="194"/>
      <c r="AD727" s="194"/>
      <c r="AE727" s="194"/>
      <c r="AF727" s="194"/>
      <c r="AG727" s="194"/>
      <c r="AH727" s="194"/>
      <c r="AI727" s="194"/>
      <c r="AJ727" s="194"/>
      <c r="AK727" s="195"/>
      <c r="AL727" s="164"/>
      <c r="AM727" s="164"/>
      <c r="AN727" s="164"/>
      <c r="AO727" s="164"/>
      <c r="AP727" s="164"/>
      <c r="AQ727" s="164"/>
    </row>
    <row r="728" spans="2:43" x14ac:dyDescent="0.3">
      <c r="B728" s="161"/>
      <c r="C728" s="162"/>
      <c r="D728" s="162"/>
      <c r="E728" s="163"/>
      <c r="F728" s="192"/>
      <c r="G728" s="192"/>
      <c r="H728" s="192"/>
      <c r="I728" s="192"/>
      <c r="J728" s="177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9"/>
      <c r="V728" s="168"/>
      <c r="W728" s="169"/>
      <c r="X728" s="169"/>
      <c r="Y728" s="170"/>
      <c r="Z728" s="193"/>
      <c r="AA728" s="194"/>
      <c r="AB728" s="194"/>
      <c r="AC728" s="194"/>
      <c r="AD728" s="194"/>
      <c r="AE728" s="194"/>
      <c r="AF728" s="194"/>
      <c r="AG728" s="194"/>
      <c r="AH728" s="194"/>
      <c r="AI728" s="194"/>
      <c r="AJ728" s="194"/>
      <c r="AK728" s="195"/>
      <c r="AL728" s="164"/>
      <c r="AM728" s="164"/>
      <c r="AN728" s="164"/>
      <c r="AO728" s="164"/>
      <c r="AP728" s="164"/>
      <c r="AQ728" s="164"/>
    </row>
    <row r="729" spans="2:43" x14ac:dyDescent="0.3">
      <c r="B729" s="161"/>
      <c r="C729" s="162"/>
      <c r="D729" s="162"/>
      <c r="E729" s="163"/>
      <c r="F729" s="192"/>
      <c r="G729" s="192"/>
      <c r="H729" s="192"/>
      <c r="I729" s="192"/>
      <c r="J729" s="177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9"/>
      <c r="V729" s="168"/>
      <c r="W729" s="169"/>
      <c r="X729" s="169"/>
      <c r="Y729" s="170"/>
      <c r="Z729" s="193"/>
      <c r="AA729" s="194"/>
      <c r="AB729" s="194"/>
      <c r="AC729" s="194"/>
      <c r="AD729" s="194"/>
      <c r="AE729" s="194"/>
      <c r="AF729" s="194"/>
      <c r="AG729" s="194"/>
      <c r="AH729" s="194"/>
      <c r="AI729" s="194"/>
      <c r="AJ729" s="194"/>
      <c r="AK729" s="195"/>
      <c r="AL729" s="164"/>
      <c r="AM729" s="164"/>
      <c r="AN729" s="164"/>
      <c r="AO729" s="164"/>
      <c r="AP729" s="164"/>
      <c r="AQ729" s="164"/>
    </row>
    <row r="730" spans="2:43" x14ac:dyDescent="0.3">
      <c r="B730" s="161"/>
      <c r="C730" s="162"/>
      <c r="D730" s="162"/>
      <c r="E730" s="163"/>
      <c r="F730" s="192"/>
      <c r="G730" s="192"/>
      <c r="H730" s="192"/>
      <c r="I730" s="192"/>
      <c r="J730" s="180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2"/>
      <c r="V730" s="171"/>
      <c r="W730" s="172"/>
      <c r="X730" s="172"/>
      <c r="Y730" s="173"/>
      <c r="Z730" s="199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  <c r="AK730" s="201"/>
      <c r="AL730" s="164"/>
      <c r="AM730" s="164"/>
      <c r="AN730" s="164"/>
      <c r="AO730" s="164"/>
      <c r="AP730" s="164"/>
      <c r="AQ730" s="164"/>
    </row>
    <row r="731" spans="2:43" x14ac:dyDescent="0.3">
      <c r="B731" s="161"/>
      <c r="C731" s="162"/>
      <c r="D731" s="162"/>
      <c r="E731" s="163"/>
      <c r="F731" s="192"/>
      <c r="G731" s="192"/>
      <c r="H731" s="192"/>
      <c r="I731" s="192"/>
      <c r="J731" s="183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5"/>
      <c r="V731" s="165"/>
      <c r="W731" s="166"/>
      <c r="X731" s="166"/>
      <c r="Y731" s="167"/>
      <c r="Z731" s="196"/>
      <c r="AA731" s="197"/>
      <c r="AB731" s="197"/>
      <c r="AC731" s="197"/>
      <c r="AD731" s="197"/>
      <c r="AE731" s="197"/>
      <c r="AF731" s="197"/>
      <c r="AG731" s="197"/>
      <c r="AH731" s="197"/>
      <c r="AI731" s="197"/>
      <c r="AJ731" s="197"/>
      <c r="AK731" s="198"/>
      <c r="AL731" s="164"/>
      <c r="AM731" s="164"/>
      <c r="AN731" s="164"/>
      <c r="AO731" s="164"/>
      <c r="AP731" s="164"/>
      <c r="AQ731" s="164"/>
    </row>
    <row r="732" spans="2:43" x14ac:dyDescent="0.3">
      <c r="B732" s="161"/>
      <c r="C732" s="162"/>
      <c r="D732" s="162"/>
      <c r="E732" s="163"/>
      <c r="F732" s="192"/>
      <c r="G732" s="192"/>
      <c r="H732" s="192"/>
      <c r="I732" s="192"/>
      <c r="J732" s="186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8"/>
      <c r="V732" s="168"/>
      <c r="W732" s="169"/>
      <c r="X732" s="169"/>
      <c r="Y732" s="170"/>
      <c r="Z732" s="193"/>
      <c r="AA732" s="194"/>
      <c r="AB732" s="194"/>
      <c r="AC732" s="194"/>
      <c r="AD732" s="194"/>
      <c r="AE732" s="194"/>
      <c r="AF732" s="194"/>
      <c r="AG732" s="194"/>
      <c r="AH732" s="194"/>
      <c r="AI732" s="194"/>
      <c r="AJ732" s="194"/>
      <c r="AK732" s="195"/>
      <c r="AL732" s="164"/>
      <c r="AM732" s="164"/>
      <c r="AN732" s="164"/>
      <c r="AO732" s="164"/>
      <c r="AP732" s="164"/>
      <c r="AQ732" s="164"/>
    </row>
    <row r="733" spans="2:43" x14ac:dyDescent="0.3">
      <c r="B733" s="161"/>
      <c r="C733" s="162"/>
      <c r="D733" s="162"/>
      <c r="E733" s="163"/>
      <c r="F733" s="192"/>
      <c r="G733" s="192"/>
      <c r="H733" s="192"/>
      <c r="I733" s="192"/>
      <c r="J733" s="186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8"/>
      <c r="V733" s="168"/>
      <c r="W733" s="169"/>
      <c r="X733" s="169"/>
      <c r="Y733" s="170"/>
      <c r="Z733" s="193"/>
      <c r="AA733" s="194"/>
      <c r="AB733" s="194"/>
      <c r="AC733" s="194"/>
      <c r="AD733" s="194"/>
      <c r="AE733" s="194"/>
      <c r="AF733" s="194"/>
      <c r="AG733" s="194"/>
      <c r="AH733" s="194"/>
      <c r="AI733" s="194"/>
      <c r="AJ733" s="194"/>
      <c r="AK733" s="195"/>
      <c r="AL733" s="164"/>
      <c r="AM733" s="164"/>
      <c r="AN733" s="164"/>
      <c r="AO733" s="164"/>
      <c r="AP733" s="164"/>
      <c r="AQ733" s="164"/>
    </row>
    <row r="734" spans="2:43" x14ac:dyDescent="0.3">
      <c r="B734" s="161"/>
      <c r="C734" s="162"/>
      <c r="D734" s="162"/>
      <c r="E734" s="163"/>
      <c r="F734" s="192"/>
      <c r="G734" s="192"/>
      <c r="H734" s="192"/>
      <c r="I734" s="192"/>
      <c r="J734" s="186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8"/>
      <c r="V734" s="168"/>
      <c r="W734" s="169"/>
      <c r="X734" s="169"/>
      <c r="Y734" s="170"/>
      <c r="Z734" s="193"/>
      <c r="AA734" s="194"/>
      <c r="AB734" s="194"/>
      <c r="AC734" s="194"/>
      <c r="AD734" s="194"/>
      <c r="AE734" s="194"/>
      <c r="AF734" s="194"/>
      <c r="AG734" s="194"/>
      <c r="AH734" s="194"/>
      <c r="AI734" s="194"/>
      <c r="AJ734" s="194"/>
      <c r="AK734" s="195"/>
      <c r="AL734" s="164"/>
      <c r="AM734" s="164"/>
      <c r="AN734" s="164"/>
      <c r="AO734" s="164"/>
      <c r="AP734" s="164"/>
      <c r="AQ734" s="164"/>
    </row>
    <row r="735" spans="2:43" x14ac:dyDescent="0.3">
      <c r="B735" s="161"/>
      <c r="C735" s="162"/>
      <c r="D735" s="162"/>
      <c r="E735" s="163"/>
      <c r="F735" s="192"/>
      <c r="G735" s="192"/>
      <c r="H735" s="192"/>
      <c r="I735" s="192"/>
      <c r="J735" s="186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8"/>
      <c r="V735" s="168"/>
      <c r="W735" s="169"/>
      <c r="X735" s="169"/>
      <c r="Y735" s="170"/>
      <c r="Z735" s="193"/>
      <c r="AA735" s="194"/>
      <c r="AB735" s="194"/>
      <c r="AC735" s="194"/>
      <c r="AD735" s="194"/>
      <c r="AE735" s="194"/>
      <c r="AF735" s="194"/>
      <c r="AG735" s="194"/>
      <c r="AH735" s="194"/>
      <c r="AI735" s="194"/>
      <c r="AJ735" s="194"/>
      <c r="AK735" s="195"/>
      <c r="AL735" s="164"/>
      <c r="AM735" s="164"/>
      <c r="AN735" s="164"/>
      <c r="AO735" s="164"/>
      <c r="AP735" s="164"/>
      <c r="AQ735" s="164"/>
    </row>
    <row r="736" spans="2:43" x14ac:dyDescent="0.3">
      <c r="B736" s="161"/>
      <c r="C736" s="162"/>
      <c r="D736" s="162"/>
      <c r="E736" s="163"/>
      <c r="F736" s="192"/>
      <c r="G736" s="192"/>
      <c r="H736" s="192"/>
      <c r="I736" s="192"/>
      <c r="J736" s="186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8"/>
      <c r="V736" s="168"/>
      <c r="W736" s="169"/>
      <c r="X736" s="169"/>
      <c r="Y736" s="170"/>
      <c r="Z736" s="193"/>
      <c r="AA736" s="194"/>
      <c r="AB736" s="194"/>
      <c r="AC736" s="194"/>
      <c r="AD736" s="194"/>
      <c r="AE736" s="194"/>
      <c r="AF736" s="194"/>
      <c r="AG736" s="194"/>
      <c r="AH736" s="194"/>
      <c r="AI736" s="194"/>
      <c r="AJ736" s="194"/>
      <c r="AK736" s="195"/>
      <c r="AL736" s="164"/>
      <c r="AM736" s="164"/>
      <c r="AN736" s="164"/>
      <c r="AO736" s="164"/>
      <c r="AP736" s="164"/>
      <c r="AQ736" s="164"/>
    </row>
    <row r="737" spans="2:43" x14ac:dyDescent="0.3">
      <c r="B737" s="161"/>
      <c r="C737" s="162"/>
      <c r="D737" s="162"/>
      <c r="E737" s="163"/>
      <c r="F737" s="192"/>
      <c r="G737" s="192"/>
      <c r="H737" s="192"/>
      <c r="I737" s="192"/>
      <c r="J737" s="186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8"/>
      <c r="V737" s="168"/>
      <c r="W737" s="169"/>
      <c r="X737" s="169"/>
      <c r="Y737" s="170"/>
      <c r="Z737" s="193"/>
      <c r="AA737" s="194"/>
      <c r="AB737" s="194"/>
      <c r="AC737" s="194"/>
      <c r="AD737" s="194"/>
      <c r="AE737" s="194"/>
      <c r="AF737" s="194"/>
      <c r="AG737" s="194"/>
      <c r="AH737" s="194"/>
      <c r="AI737" s="194"/>
      <c r="AJ737" s="194"/>
      <c r="AK737" s="195"/>
      <c r="AL737" s="164"/>
      <c r="AM737" s="164"/>
      <c r="AN737" s="164"/>
      <c r="AO737" s="164"/>
      <c r="AP737" s="164"/>
      <c r="AQ737" s="164"/>
    </row>
    <row r="738" spans="2:43" x14ac:dyDescent="0.3">
      <c r="B738" s="161"/>
      <c r="C738" s="162"/>
      <c r="D738" s="162"/>
      <c r="E738" s="163"/>
      <c r="F738" s="192"/>
      <c r="G738" s="192"/>
      <c r="H738" s="192"/>
      <c r="I738" s="192"/>
      <c r="J738" s="189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1"/>
      <c r="V738" s="171"/>
      <c r="W738" s="172"/>
      <c r="X738" s="172"/>
      <c r="Y738" s="173"/>
      <c r="Z738" s="199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  <c r="AK738" s="201"/>
      <c r="AL738" s="164"/>
      <c r="AM738" s="164"/>
      <c r="AN738" s="164"/>
      <c r="AO738" s="164"/>
      <c r="AP738" s="164"/>
      <c r="AQ738" s="164"/>
    </row>
    <row r="739" spans="2:43" x14ac:dyDescent="0.3">
      <c r="B739" s="161"/>
      <c r="C739" s="162"/>
      <c r="D739" s="162"/>
      <c r="E739" s="163"/>
      <c r="F739" s="192"/>
      <c r="G739" s="192"/>
      <c r="H739" s="192"/>
      <c r="I739" s="192"/>
      <c r="J739" s="183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5"/>
      <c r="V739" s="165"/>
      <c r="W739" s="166"/>
      <c r="X739" s="166"/>
      <c r="Y739" s="167"/>
      <c r="Z739" s="196"/>
      <c r="AA739" s="197"/>
      <c r="AB739" s="197"/>
      <c r="AC739" s="197"/>
      <c r="AD739" s="197"/>
      <c r="AE739" s="197"/>
      <c r="AF739" s="197"/>
      <c r="AG739" s="197"/>
      <c r="AH739" s="197"/>
      <c r="AI739" s="197"/>
      <c r="AJ739" s="197"/>
      <c r="AK739" s="198"/>
      <c r="AL739" s="164"/>
      <c r="AM739" s="164"/>
      <c r="AN739" s="164"/>
      <c r="AO739" s="164"/>
      <c r="AP739" s="164"/>
      <c r="AQ739" s="164"/>
    </row>
    <row r="740" spans="2:43" x14ac:dyDescent="0.3">
      <c r="B740" s="161"/>
      <c r="C740" s="162"/>
      <c r="D740" s="162"/>
      <c r="E740" s="163"/>
      <c r="F740" s="192"/>
      <c r="G740" s="192"/>
      <c r="H740" s="192"/>
      <c r="I740" s="192"/>
      <c r="J740" s="186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8"/>
      <c r="V740" s="168"/>
      <c r="W740" s="169"/>
      <c r="X740" s="169"/>
      <c r="Y740" s="170"/>
      <c r="Z740" s="193"/>
      <c r="AA740" s="194"/>
      <c r="AB740" s="194"/>
      <c r="AC740" s="194"/>
      <c r="AD740" s="194"/>
      <c r="AE740" s="194"/>
      <c r="AF740" s="194"/>
      <c r="AG740" s="194"/>
      <c r="AH740" s="194"/>
      <c r="AI740" s="194"/>
      <c r="AJ740" s="194"/>
      <c r="AK740" s="195"/>
      <c r="AL740" s="164"/>
      <c r="AM740" s="164"/>
      <c r="AN740" s="164"/>
      <c r="AO740" s="164"/>
      <c r="AP740" s="164"/>
      <c r="AQ740" s="164"/>
    </row>
    <row r="741" spans="2:43" x14ac:dyDescent="0.3">
      <c r="B741" s="161"/>
      <c r="C741" s="162"/>
      <c r="D741" s="162"/>
      <c r="E741" s="163"/>
      <c r="F741" s="192"/>
      <c r="G741" s="192"/>
      <c r="H741" s="192"/>
      <c r="I741" s="192"/>
      <c r="J741" s="186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8"/>
      <c r="V741" s="168"/>
      <c r="W741" s="169"/>
      <c r="X741" s="169"/>
      <c r="Y741" s="170"/>
      <c r="Z741" s="193"/>
      <c r="AA741" s="194"/>
      <c r="AB741" s="194"/>
      <c r="AC741" s="194"/>
      <c r="AD741" s="194"/>
      <c r="AE741" s="194"/>
      <c r="AF741" s="194"/>
      <c r="AG741" s="194"/>
      <c r="AH741" s="194"/>
      <c r="AI741" s="194"/>
      <c r="AJ741" s="194"/>
      <c r="AK741" s="195"/>
      <c r="AL741" s="164"/>
      <c r="AM741" s="164"/>
      <c r="AN741" s="164"/>
      <c r="AO741" s="164"/>
      <c r="AP741" s="164"/>
      <c r="AQ741" s="164"/>
    </row>
    <row r="742" spans="2:43" x14ac:dyDescent="0.3">
      <c r="B742" s="161"/>
      <c r="C742" s="162"/>
      <c r="D742" s="162"/>
      <c r="E742" s="163"/>
      <c r="F742" s="192"/>
      <c r="G742" s="192"/>
      <c r="H742" s="192"/>
      <c r="I742" s="192"/>
      <c r="J742" s="186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8"/>
      <c r="V742" s="168"/>
      <c r="W742" s="169"/>
      <c r="X742" s="169"/>
      <c r="Y742" s="170"/>
      <c r="Z742" s="193"/>
      <c r="AA742" s="194"/>
      <c r="AB742" s="194"/>
      <c r="AC742" s="194"/>
      <c r="AD742" s="194"/>
      <c r="AE742" s="194"/>
      <c r="AF742" s="194"/>
      <c r="AG742" s="194"/>
      <c r="AH742" s="194"/>
      <c r="AI742" s="194"/>
      <c r="AJ742" s="194"/>
      <c r="AK742" s="195"/>
      <c r="AL742" s="164"/>
      <c r="AM742" s="164"/>
      <c r="AN742" s="164"/>
      <c r="AO742" s="164"/>
      <c r="AP742" s="164"/>
      <c r="AQ742" s="164"/>
    </row>
    <row r="743" spans="2:43" x14ac:dyDescent="0.3">
      <c r="B743" s="161"/>
      <c r="C743" s="162"/>
      <c r="D743" s="162"/>
      <c r="E743" s="163"/>
      <c r="F743" s="192"/>
      <c r="G743" s="192"/>
      <c r="H743" s="192"/>
      <c r="I743" s="192"/>
      <c r="J743" s="186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8"/>
      <c r="V743" s="168"/>
      <c r="W743" s="169"/>
      <c r="X743" s="169"/>
      <c r="Y743" s="170"/>
      <c r="Z743" s="193"/>
      <c r="AA743" s="194"/>
      <c r="AB743" s="194"/>
      <c r="AC743" s="194"/>
      <c r="AD743" s="194"/>
      <c r="AE743" s="194"/>
      <c r="AF743" s="194"/>
      <c r="AG743" s="194"/>
      <c r="AH743" s="194"/>
      <c r="AI743" s="194"/>
      <c r="AJ743" s="194"/>
      <c r="AK743" s="195"/>
      <c r="AL743" s="164"/>
      <c r="AM743" s="164"/>
      <c r="AN743" s="164"/>
      <c r="AO743" s="164"/>
      <c r="AP743" s="164"/>
      <c r="AQ743" s="164"/>
    </row>
    <row r="744" spans="2:43" x14ac:dyDescent="0.3">
      <c r="B744" s="161"/>
      <c r="C744" s="162"/>
      <c r="D744" s="162"/>
      <c r="E744" s="163"/>
      <c r="F744" s="192"/>
      <c r="G744" s="192"/>
      <c r="H744" s="192"/>
      <c r="I744" s="192"/>
      <c r="J744" s="186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8"/>
      <c r="V744" s="168"/>
      <c r="W744" s="169"/>
      <c r="X744" s="169"/>
      <c r="Y744" s="170"/>
      <c r="Z744" s="193"/>
      <c r="AA744" s="194"/>
      <c r="AB744" s="194"/>
      <c r="AC744" s="194"/>
      <c r="AD744" s="194"/>
      <c r="AE744" s="194"/>
      <c r="AF744" s="194"/>
      <c r="AG744" s="194"/>
      <c r="AH744" s="194"/>
      <c r="AI744" s="194"/>
      <c r="AJ744" s="194"/>
      <c r="AK744" s="195"/>
      <c r="AL744" s="164"/>
      <c r="AM744" s="164"/>
      <c r="AN744" s="164"/>
      <c r="AO744" s="164"/>
      <c r="AP744" s="164"/>
      <c r="AQ744" s="164"/>
    </row>
    <row r="745" spans="2:43" x14ac:dyDescent="0.3">
      <c r="B745" s="161"/>
      <c r="C745" s="162"/>
      <c r="D745" s="162"/>
      <c r="E745" s="163"/>
      <c r="F745" s="192"/>
      <c r="G745" s="192"/>
      <c r="H745" s="192"/>
      <c r="I745" s="192"/>
      <c r="J745" s="186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8"/>
      <c r="V745" s="168"/>
      <c r="W745" s="169"/>
      <c r="X745" s="169"/>
      <c r="Y745" s="170"/>
      <c r="Z745" s="193"/>
      <c r="AA745" s="194"/>
      <c r="AB745" s="194"/>
      <c r="AC745" s="194"/>
      <c r="AD745" s="194"/>
      <c r="AE745" s="194"/>
      <c r="AF745" s="194"/>
      <c r="AG745" s="194"/>
      <c r="AH745" s="194"/>
      <c r="AI745" s="194"/>
      <c r="AJ745" s="194"/>
      <c r="AK745" s="195"/>
      <c r="AL745" s="164"/>
      <c r="AM745" s="164"/>
      <c r="AN745" s="164"/>
      <c r="AO745" s="164"/>
      <c r="AP745" s="164"/>
      <c r="AQ745" s="164"/>
    </row>
    <row r="746" spans="2:43" x14ac:dyDescent="0.3">
      <c r="B746" s="161"/>
      <c r="C746" s="162"/>
      <c r="D746" s="162"/>
      <c r="E746" s="163"/>
      <c r="F746" s="192"/>
      <c r="G746" s="192"/>
      <c r="H746" s="192"/>
      <c r="I746" s="192"/>
      <c r="J746" s="189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1"/>
      <c r="V746" s="171"/>
      <c r="W746" s="172"/>
      <c r="X746" s="172"/>
      <c r="Y746" s="173"/>
      <c r="Z746" s="199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  <c r="AK746" s="201"/>
      <c r="AL746" s="164"/>
      <c r="AM746" s="164"/>
      <c r="AN746" s="164"/>
      <c r="AO746" s="164"/>
      <c r="AP746" s="164"/>
      <c r="AQ746" s="164"/>
    </row>
    <row r="747" spans="2:43" x14ac:dyDescent="0.3">
      <c r="B747" s="161"/>
      <c r="C747" s="162"/>
      <c r="D747" s="162"/>
      <c r="E747" s="163"/>
      <c r="F747" s="192"/>
      <c r="G747" s="192"/>
      <c r="H747" s="192"/>
      <c r="I747" s="192"/>
      <c r="J747" s="183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5"/>
      <c r="V747" s="165"/>
      <c r="W747" s="166"/>
      <c r="X747" s="166"/>
      <c r="Y747" s="167"/>
      <c r="Z747" s="196"/>
      <c r="AA747" s="197"/>
      <c r="AB747" s="197"/>
      <c r="AC747" s="197"/>
      <c r="AD747" s="197"/>
      <c r="AE747" s="197"/>
      <c r="AF747" s="197"/>
      <c r="AG747" s="197"/>
      <c r="AH747" s="197"/>
      <c r="AI747" s="197"/>
      <c r="AJ747" s="197"/>
      <c r="AK747" s="198"/>
      <c r="AL747" s="164"/>
      <c r="AM747" s="164"/>
      <c r="AN747" s="164"/>
      <c r="AO747" s="164"/>
      <c r="AP747" s="164"/>
      <c r="AQ747" s="164"/>
    </row>
    <row r="748" spans="2:43" x14ac:dyDescent="0.3">
      <c r="B748" s="161"/>
      <c r="C748" s="162"/>
      <c r="D748" s="162"/>
      <c r="E748" s="163"/>
      <c r="F748" s="192"/>
      <c r="G748" s="192"/>
      <c r="H748" s="192"/>
      <c r="I748" s="192"/>
      <c r="J748" s="186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8"/>
      <c r="V748" s="168"/>
      <c r="W748" s="169"/>
      <c r="X748" s="169"/>
      <c r="Y748" s="170"/>
      <c r="Z748" s="193"/>
      <c r="AA748" s="194"/>
      <c r="AB748" s="194"/>
      <c r="AC748" s="194"/>
      <c r="AD748" s="194"/>
      <c r="AE748" s="194"/>
      <c r="AF748" s="194"/>
      <c r="AG748" s="194"/>
      <c r="AH748" s="194"/>
      <c r="AI748" s="194"/>
      <c r="AJ748" s="194"/>
      <c r="AK748" s="195"/>
      <c r="AL748" s="164"/>
      <c r="AM748" s="164"/>
      <c r="AN748" s="164"/>
      <c r="AO748" s="164"/>
      <c r="AP748" s="164"/>
      <c r="AQ748" s="164"/>
    </row>
    <row r="749" spans="2:43" x14ac:dyDescent="0.3">
      <c r="B749" s="161"/>
      <c r="C749" s="162"/>
      <c r="D749" s="162"/>
      <c r="E749" s="163"/>
      <c r="F749" s="192"/>
      <c r="G749" s="192"/>
      <c r="H749" s="192"/>
      <c r="I749" s="192"/>
      <c r="J749" s="186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8"/>
      <c r="V749" s="168"/>
      <c r="W749" s="169"/>
      <c r="X749" s="169"/>
      <c r="Y749" s="170"/>
      <c r="Z749" s="193"/>
      <c r="AA749" s="194"/>
      <c r="AB749" s="194"/>
      <c r="AC749" s="194"/>
      <c r="AD749" s="194"/>
      <c r="AE749" s="194"/>
      <c r="AF749" s="194"/>
      <c r="AG749" s="194"/>
      <c r="AH749" s="194"/>
      <c r="AI749" s="194"/>
      <c r="AJ749" s="194"/>
      <c r="AK749" s="195"/>
      <c r="AL749" s="164"/>
      <c r="AM749" s="164"/>
      <c r="AN749" s="164"/>
      <c r="AO749" s="164"/>
      <c r="AP749" s="164"/>
      <c r="AQ749" s="164"/>
    </row>
    <row r="750" spans="2:43" x14ac:dyDescent="0.3">
      <c r="B750" s="161"/>
      <c r="C750" s="162"/>
      <c r="D750" s="162"/>
      <c r="E750" s="163"/>
      <c r="F750" s="192"/>
      <c r="G750" s="192"/>
      <c r="H750" s="192"/>
      <c r="I750" s="192"/>
      <c r="J750" s="186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8"/>
      <c r="V750" s="168"/>
      <c r="W750" s="169"/>
      <c r="X750" s="169"/>
      <c r="Y750" s="170"/>
      <c r="Z750" s="193"/>
      <c r="AA750" s="194"/>
      <c r="AB750" s="194"/>
      <c r="AC750" s="194"/>
      <c r="AD750" s="194"/>
      <c r="AE750" s="194"/>
      <c r="AF750" s="194"/>
      <c r="AG750" s="194"/>
      <c r="AH750" s="194"/>
      <c r="AI750" s="194"/>
      <c r="AJ750" s="194"/>
      <c r="AK750" s="195"/>
      <c r="AL750" s="164"/>
      <c r="AM750" s="164"/>
      <c r="AN750" s="164"/>
      <c r="AO750" s="164"/>
      <c r="AP750" s="164"/>
      <c r="AQ750" s="164"/>
    </row>
    <row r="751" spans="2:43" x14ac:dyDescent="0.3">
      <c r="B751" s="161"/>
      <c r="C751" s="162"/>
      <c r="D751" s="162"/>
      <c r="E751" s="163"/>
      <c r="F751" s="192"/>
      <c r="G751" s="192"/>
      <c r="H751" s="192"/>
      <c r="I751" s="192"/>
      <c r="J751" s="186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8"/>
      <c r="V751" s="168"/>
      <c r="W751" s="169"/>
      <c r="X751" s="169"/>
      <c r="Y751" s="170"/>
      <c r="Z751" s="193"/>
      <c r="AA751" s="194"/>
      <c r="AB751" s="194"/>
      <c r="AC751" s="194"/>
      <c r="AD751" s="194"/>
      <c r="AE751" s="194"/>
      <c r="AF751" s="194"/>
      <c r="AG751" s="194"/>
      <c r="AH751" s="194"/>
      <c r="AI751" s="194"/>
      <c r="AJ751" s="194"/>
      <c r="AK751" s="195"/>
      <c r="AL751" s="164"/>
      <c r="AM751" s="164"/>
      <c r="AN751" s="164"/>
      <c r="AO751" s="164"/>
      <c r="AP751" s="164"/>
      <c r="AQ751" s="164"/>
    </row>
    <row r="752" spans="2:43" x14ac:dyDescent="0.3">
      <c r="B752" s="161"/>
      <c r="C752" s="162"/>
      <c r="D752" s="162"/>
      <c r="E752" s="163"/>
      <c r="F752" s="192"/>
      <c r="G752" s="192"/>
      <c r="H752" s="192"/>
      <c r="I752" s="192"/>
      <c r="J752" s="186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8"/>
      <c r="V752" s="168"/>
      <c r="W752" s="169"/>
      <c r="X752" s="169"/>
      <c r="Y752" s="170"/>
      <c r="Z752" s="193"/>
      <c r="AA752" s="194"/>
      <c r="AB752" s="194"/>
      <c r="AC752" s="194"/>
      <c r="AD752" s="194"/>
      <c r="AE752" s="194"/>
      <c r="AF752" s="194"/>
      <c r="AG752" s="194"/>
      <c r="AH752" s="194"/>
      <c r="AI752" s="194"/>
      <c r="AJ752" s="194"/>
      <c r="AK752" s="195"/>
      <c r="AL752" s="164"/>
      <c r="AM752" s="164"/>
      <c r="AN752" s="164"/>
      <c r="AO752" s="164"/>
      <c r="AP752" s="164"/>
      <c r="AQ752" s="164"/>
    </row>
    <row r="753" spans="2:43" x14ac:dyDescent="0.3">
      <c r="B753" s="161"/>
      <c r="C753" s="162"/>
      <c r="D753" s="162"/>
      <c r="E753" s="163"/>
      <c r="F753" s="192"/>
      <c r="G753" s="192"/>
      <c r="H753" s="192"/>
      <c r="I753" s="192"/>
      <c r="J753" s="186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8"/>
      <c r="V753" s="168"/>
      <c r="W753" s="169"/>
      <c r="X753" s="169"/>
      <c r="Y753" s="170"/>
      <c r="Z753" s="193"/>
      <c r="AA753" s="194"/>
      <c r="AB753" s="194"/>
      <c r="AC753" s="194"/>
      <c r="AD753" s="194"/>
      <c r="AE753" s="194"/>
      <c r="AF753" s="194"/>
      <c r="AG753" s="194"/>
      <c r="AH753" s="194"/>
      <c r="AI753" s="194"/>
      <c r="AJ753" s="194"/>
      <c r="AK753" s="195"/>
      <c r="AL753" s="164"/>
      <c r="AM753" s="164"/>
      <c r="AN753" s="164"/>
      <c r="AO753" s="164"/>
      <c r="AP753" s="164"/>
      <c r="AQ753" s="164"/>
    </row>
    <row r="754" spans="2:43" x14ac:dyDescent="0.3">
      <c r="B754" s="161"/>
      <c r="C754" s="162"/>
      <c r="D754" s="162"/>
      <c r="E754" s="163"/>
      <c r="F754" s="192"/>
      <c r="G754" s="192"/>
      <c r="H754" s="192"/>
      <c r="I754" s="192"/>
      <c r="J754" s="189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1"/>
      <c r="V754" s="171"/>
      <c r="W754" s="172"/>
      <c r="X754" s="172"/>
      <c r="Y754" s="173"/>
      <c r="Z754" s="199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  <c r="AK754" s="201"/>
      <c r="AL754" s="164"/>
      <c r="AM754" s="164"/>
      <c r="AN754" s="164"/>
      <c r="AO754" s="164"/>
      <c r="AP754" s="164"/>
      <c r="AQ754" s="164"/>
    </row>
    <row r="755" spans="2:43" x14ac:dyDescent="0.3">
      <c r="B755" s="161"/>
      <c r="C755" s="162"/>
      <c r="D755" s="162"/>
      <c r="E755" s="163"/>
      <c r="F755" s="192"/>
      <c r="G755" s="192"/>
      <c r="H755" s="192"/>
      <c r="I755" s="192"/>
      <c r="J755" s="183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5"/>
      <c r="V755" s="165"/>
      <c r="W755" s="166"/>
      <c r="X755" s="166"/>
      <c r="Y755" s="167"/>
      <c r="Z755" s="196"/>
      <c r="AA755" s="197"/>
      <c r="AB755" s="197"/>
      <c r="AC755" s="197"/>
      <c r="AD755" s="197"/>
      <c r="AE755" s="197"/>
      <c r="AF755" s="197"/>
      <c r="AG755" s="197"/>
      <c r="AH755" s="197"/>
      <c r="AI755" s="197"/>
      <c r="AJ755" s="197"/>
      <c r="AK755" s="198"/>
      <c r="AL755" s="164"/>
      <c r="AM755" s="164"/>
      <c r="AN755" s="164"/>
      <c r="AO755" s="164"/>
      <c r="AP755" s="164"/>
      <c r="AQ755" s="164"/>
    </row>
    <row r="756" spans="2:43" x14ac:dyDescent="0.3">
      <c r="B756" s="161"/>
      <c r="C756" s="162"/>
      <c r="D756" s="162"/>
      <c r="E756" s="163"/>
      <c r="F756" s="192"/>
      <c r="G756" s="192"/>
      <c r="H756" s="192"/>
      <c r="I756" s="192"/>
      <c r="J756" s="186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8"/>
      <c r="V756" s="168"/>
      <c r="W756" s="169"/>
      <c r="X756" s="169"/>
      <c r="Y756" s="170"/>
      <c r="Z756" s="193"/>
      <c r="AA756" s="194"/>
      <c r="AB756" s="194"/>
      <c r="AC756" s="194"/>
      <c r="AD756" s="194"/>
      <c r="AE756" s="194"/>
      <c r="AF756" s="194"/>
      <c r="AG756" s="194"/>
      <c r="AH756" s="194"/>
      <c r="AI756" s="194"/>
      <c r="AJ756" s="194"/>
      <c r="AK756" s="195"/>
      <c r="AL756" s="164"/>
      <c r="AM756" s="164"/>
      <c r="AN756" s="164"/>
      <c r="AO756" s="164"/>
      <c r="AP756" s="164"/>
      <c r="AQ756" s="164"/>
    </row>
    <row r="757" spans="2:43" x14ac:dyDescent="0.3">
      <c r="B757" s="161"/>
      <c r="C757" s="162"/>
      <c r="D757" s="162"/>
      <c r="E757" s="163"/>
      <c r="F757" s="192"/>
      <c r="G757" s="192"/>
      <c r="H757" s="192"/>
      <c r="I757" s="192"/>
      <c r="J757" s="186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8"/>
      <c r="V757" s="168"/>
      <c r="W757" s="169"/>
      <c r="X757" s="169"/>
      <c r="Y757" s="170"/>
      <c r="Z757" s="193"/>
      <c r="AA757" s="194"/>
      <c r="AB757" s="194"/>
      <c r="AC757" s="194"/>
      <c r="AD757" s="194"/>
      <c r="AE757" s="194"/>
      <c r="AF757" s="194"/>
      <c r="AG757" s="194"/>
      <c r="AH757" s="194"/>
      <c r="AI757" s="194"/>
      <c r="AJ757" s="194"/>
      <c r="AK757" s="195"/>
      <c r="AL757" s="164"/>
      <c r="AM757" s="164"/>
      <c r="AN757" s="164"/>
      <c r="AO757" s="164"/>
      <c r="AP757" s="164"/>
      <c r="AQ757" s="164"/>
    </row>
    <row r="758" spans="2:43" x14ac:dyDescent="0.3">
      <c r="B758" s="161"/>
      <c r="C758" s="162"/>
      <c r="D758" s="162"/>
      <c r="E758" s="163"/>
      <c r="F758" s="192"/>
      <c r="G758" s="192"/>
      <c r="H758" s="192"/>
      <c r="I758" s="192"/>
      <c r="J758" s="186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8"/>
      <c r="V758" s="168"/>
      <c r="W758" s="169"/>
      <c r="X758" s="169"/>
      <c r="Y758" s="170"/>
      <c r="Z758" s="193"/>
      <c r="AA758" s="194"/>
      <c r="AB758" s="194"/>
      <c r="AC758" s="194"/>
      <c r="AD758" s="194"/>
      <c r="AE758" s="194"/>
      <c r="AF758" s="194"/>
      <c r="AG758" s="194"/>
      <c r="AH758" s="194"/>
      <c r="AI758" s="194"/>
      <c r="AJ758" s="194"/>
      <c r="AK758" s="195"/>
      <c r="AL758" s="164"/>
      <c r="AM758" s="164"/>
      <c r="AN758" s="164"/>
      <c r="AO758" s="164"/>
      <c r="AP758" s="164"/>
      <c r="AQ758" s="164"/>
    </row>
    <row r="759" spans="2:43" x14ac:dyDescent="0.3">
      <c r="B759" s="161"/>
      <c r="C759" s="162"/>
      <c r="D759" s="162"/>
      <c r="E759" s="163"/>
      <c r="F759" s="192"/>
      <c r="G759" s="192"/>
      <c r="H759" s="192"/>
      <c r="I759" s="192"/>
      <c r="J759" s="186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8"/>
      <c r="V759" s="168"/>
      <c r="W759" s="169"/>
      <c r="X759" s="169"/>
      <c r="Y759" s="170"/>
      <c r="Z759" s="193"/>
      <c r="AA759" s="194"/>
      <c r="AB759" s="194"/>
      <c r="AC759" s="194"/>
      <c r="AD759" s="194"/>
      <c r="AE759" s="194"/>
      <c r="AF759" s="194"/>
      <c r="AG759" s="194"/>
      <c r="AH759" s="194"/>
      <c r="AI759" s="194"/>
      <c r="AJ759" s="194"/>
      <c r="AK759" s="195"/>
      <c r="AL759" s="164"/>
      <c r="AM759" s="164"/>
      <c r="AN759" s="164"/>
      <c r="AO759" s="164"/>
      <c r="AP759" s="164"/>
      <c r="AQ759" s="164"/>
    </row>
    <row r="760" spans="2:43" x14ac:dyDescent="0.3">
      <c r="B760" s="161"/>
      <c r="C760" s="162"/>
      <c r="D760" s="162"/>
      <c r="E760" s="163"/>
      <c r="F760" s="192"/>
      <c r="G760" s="192"/>
      <c r="H760" s="192"/>
      <c r="I760" s="192"/>
      <c r="J760" s="186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8"/>
      <c r="V760" s="168"/>
      <c r="W760" s="169"/>
      <c r="X760" s="169"/>
      <c r="Y760" s="170"/>
      <c r="Z760" s="193"/>
      <c r="AA760" s="194"/>
      <c r="AB760" s="194"/>
      <c r="AC760" s="194"/>
      <c r="AD760" s="194"/>
      <c r="AE760" s="194"/>
      <c r="AF760" s="194"/>
      <c r="AG760" s="194"/>
      <c r="AH760" s="194"/>
      <c r="AI760" s="194"/>
      <c r="AJ760" s="194"/>
      <c r="AK760" s="195"/>
      <c r="AL760" s="164"/>
      <c r="AM760" s="164"/>
      <c r="AN760" s="164"/>
      <c r="AO760" s="164"/>
      <c r="AP760" s="164"/>
      <c r="AQ760" s="164"/>
    </row>
    <row r="761" spans="2:43" x14ac:dyDescent="0.3">
      <c r="B761" s="161"/>
      <c r="C761" s="162"/>
      <c r="D761" s="162"/>
      <c r="E761" s="163"/>
      <c r="F761" s="192"/>
      <c r="G761" s="192"/>
      <c r="H761" s="192"/>
      <c r="I761" s="192"/>
      <c r="J761" s="186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8"/>
      <c r="V761" s="168"/>
      <c r="W761" s="169"/>
      <c r="X761" s="169"/>
      <c r="Y761" s="170"/>
      <c r="Z761" s="193"/>
      <c r="AA761" s="194"/>
      <c r="AB761" s="194"/>
      <c r="AC761" s="194"/>
      <c r="AD761" s="194"/>
      <c r="AE761" s="194"/>
      <c r="AF761" s="194"/>
      <c r="AG761" s="194"/>
      <c r="AH761" s="194"/>
      <c r="AI761" s="194"/>
      <c r="AJ761" s="194"/>
      <c r="AK761" s="195"/>
      <c r="AL761" s="164"/>
      <c r="AM761" s="164"/>
      <c r="AN761" s="164"/>
      <c r="AO761" s="164"/>
      <c r="AP761" s="164"/>
      <c r="AQ761" s="164"/>
    </row>
    <row r="762" spans="2:43" x14ac:dyDescent="0.3">
      <c r="B762" s="161"/>
      <c r="C762" s="162"/>
      <c r="D762" s="162"/>
      <c r="E762" s="163"/>
      <c r="F762" s="192"/>
      <c r="G762" s="192"/>
      <c r="H762" s="192"/>
      <c r="I762" s="192"/>
      <c r="J762" s="189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1"/>
      <c r="V762" s="171"/>
      <c r="W762" s="172"/>
      <c r="X762" s="172"/>
      <c r="Y762" s="173"/>
      <c r="Z762" s="199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  <c r="AK762" s="201"/>
      <c r="AL762" s="164"/>
      <c r="AM762" s="164"/>
      <c r="AN762" s="164"/>
      <c r="AO762" s="164"/>
      <c r="AP762" s="164"/>
      <c r="AQ762" s="164"/>
    </row>
    <row r="763" spans="2:43" x14ac:dyDescent="0.3">
      <c r="B763" s="161"/>
      <c r="C763" s="162"/>
      <c r="D763" s="162"/>
      <c r="E763" s="163"/>
      <c r="F763" s="192"/>
      <c r="G763" s="192"/>
      <c r="H763" s="192"/>
      <c r="I763" s="192"/>
      <c r="J763" s="183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5"/>
      <c r="V763" s="165"/>
      <c r="W763" s="166"/>
      <c r="X763" s="166"/>
      <c r="Y763" s="167"/>
      <c r="Z763" s="196"/>
      <c r="AA763" s="197"/>
      <c r="AB763" s="197"/>
      <c r="AC763" s="197"/>
      <c r="AD763" s="197"/>
      <c r="AE763" s="197"/>
      <c r="AF763" s="197"/>
      <c r="AG763" s="197"/>
      <c r="AH763" s="197"/>
      <c r="AI763" s="197"/>
      <c r="AJ763" s="197"/>
      <c r="AK763" s="198"/>
      <c r="AL763" s="164"/>
      <c r="AM763" s="164"/>
      <c r="AN763" s="164"/>
      <c r="AO763" s="164"/>
      <c r="AP763" s="164"/>
      <c r="AQ763" s="164"/>
    </row>
    <row r="764" spans="2:43" x14ac:dyDescent="0.3">
      <c r="B764" s="161"/>
      <c r="C764" s="162"/>
      <c r="D764" s="162"/>
      <c r="E764" s="163"/>
      <c r="F764" s="192"/>
      <c r="G764" s="192"/>
      <c r="H764" s="192"/>
      <c r="I764" s="192"/>
      <c r="J764" s="186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8"/>
      <c r="V764" s="168"/>
      <c r="W764" s="169"/>
      <c r="X764" s="169"/>
      <c r="Y764" s="170"/>
      <c r="Z764" s="193"/>
      <c r="AA764" s="194"/>
      <c r="AB764" s="194"/>
      <c r="AC764" s="194"/>
      <c r="AD764" s="194"/>
      <c r="AE764" s="194"/>
      <c r="AF764" s="194"/>
      <c r="AG764" s="194"/>
      <c r="AH764" s="194"/>
      <c r="AI764" s="194"/>
      <c r="AJ764" s="194"/>
      <c r="AK764" s="195"/>
      <c r="AL764" s="164"/>
      <c r="AM764" s="164"/>
      <c r="AN764" s="164"/>
      <c r="AO764" s="164"/>
      <c r="AP764" s="164"/>
      <c r="AQ764" s="164"/>
    </row>
    <row r="765" spans="2:43" x14ac:dyDescent="0.3">
      <c r="B765" s="161"/>
      <c r="C765" s="162"/>
      <c r="D765" s="162"/>
      <c r="E765" s="163"/>
      <c r="F765" s="192"/>
      <c r="G765" s="192"/>
      <c r="H765" s="192"/>
      <c r="I765" s="192"/>
      <c r="J765" s="186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8"/>
      <c r="V765" s="168"/>
      <c r="W765" s="169"/>
      <c r="X765" s="169"/>
      <c r="Y765" s="170"/>
      <c r="Z765" s="193"/>
      <c r="AA765" s="194"/>
      <c r="AB765" s="194"/>
      <c r="AC765" s="194"/>
      <c r="AD765" s="194"/>
      <c r="AE765" s="194"/>
      <c r="AF765" s="194"/>
      <c r="AG765" s="194"/>
      <c r="AH765" s="194"/>
      <c r="AI765" s="194"/>
      <c r="AJ765" s="194"/>
      <c r="AK765" s="195"/>
      <c r="AL765" s="164"/>
      <c r="AM765" s="164"/>
      <c r="AN765" s="164"/>
      <c r="AO765" s="164"/>
      <c r="AP765" s="164"/>
      <c r="AQ765" s="164"/>
    </row>
    <row r="766" spans="2:43" x14ac:dyDescent="0.3">
      <c r="B766" s="161"/>
      <c r="C766" s="162"/>
      <c r="D766" s="162"/>
      <c r="E766" s="163"/>
      <c r="F766" s="192"/>
      <c r="G766" s="192"/>
      <c r="H766" s="192"/>
      <c r="I766" s="192"/>
      <c r="J766" s="186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8"/>
      <c r="V766" s="168"/>
      <c r="W766" s="169"/>
      <c r="X766" s="169"/>
      <c r="Y766" s="170"/>
      <c r="Z766" s="193"/>
      <c r="AA766" s="194"/>
      <c r="AB766" s="194"/>
      <c r="AC766" s="194"/>
      <c r="AD766" s="194"/>
      <c r="AE766" s="194"/>
      <c r="AF766" s="194"/>
      <c r="AG766" s="194"/>
      <c r="AH766" s="194"/>
      <c r="AI766" s="194"/>
      <c r="AJ766" s="194"/>
      <c r="AK766" s="195"/>
      <c r="AL766" s="164"/>
      <c r="AM766" s="164"/>
      <c r="AN766" s="164"/>
      <c r="AO766" s="164"/>
      <c r="AP766" s="164"/>
      <c r="AQ766" s="164"/>
    </row>
    <row r="767" spans="2:43" x14ac:dyDescent="0.3">
      <c r="B767" s="161"/>
      <c r="C767" s="162"/>
      <c r="D767" s="162"/>
      <c r="E767" s="163"/>
      <c r="F767" s="192"/>
      <c r="G767" s="192"/>
      <c r="H767" s="192"/>
      <c r="I767" s="192"/>
      <c r="J767" s="186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8"/>
      <c r="V767" s="168"/>
      <c r="W767" s="169"/>
      <c r="X767" s="169"/>
      <c r="Y767" s="170"/>
      <c r="Z767" s="193"/>
      <c r="AA767" s="194"/>
      <c r="AB767" s="194"/>
      <c r="AC767" s="194"/>
      <c r="AD767" s="194"/>
      <c r="AE767" s="194"/>
      <c r="AF767" s="194"/>
      <c r="AG767" s="194"/>
      <c r="AH767" s="194"/>
      <c r="AI767" s="194"/>
      <c r="AJ767" s="194"/>
      <c r="AK767" s="195"/>
      <c r="AL767" s="164"/>
      <c r="AM767" s="164"/>
      <c r="AN767" s="164"/>
      <c r="AO767" s="164"/>
      <c r="AP767" s="164"/>
      <c r="AQ767" s="164"/>
    </row>
    <row r="768" spans="2:43" x14ac:dyDescent="0.3">
      <c r="B768" s="161"/>
      <c r="C768" s="162"/>
      <c r="D768" s="162"/>
      <c r="E768" s="163"/>
      <c r="F768" s="192"/>
      <c r="G768" s="192"/>
      <c r="H768" s="192"/>
      <c r="I768" s="192"/>
      <c r="J768" s="186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8"/>
      <c r="V768" s="168"/>
      <c r="W768" s="169"/>
      <c r="X768" s="169"/>
      <c r="Y768" s="170"/>
      <c r="Z768" s="193"/>
      <c r="AA768" s="194"/>
      <c r="AB768" s="194"/>
      <c r="AC768" s="194"/>
      <c r="AD768" s="194"/>
      <c r="AE768" s="194"/>
      <c r="AF768" s="194"/>
      <c r="AG768" s="194"/>
      <c r="AH768" s="194"/>
      <c r="AI768" s="194"/>
      <c r="AJ768" s="194"/>
      <c r="AK768" s="195"/>
      <c r="AL768" s="164"/>
      <c r="AM768" s="164"/>
      <c r="AN768" s="164"/>
      <c r="AO768" s="164"/>
      <c r="AP768" s="164"/>
      <c r="AQ768" s="164"/>
    </row>
    <row r="769" spans="2:43" x14ac:dyDescent="0.3">
      <c r="B769" s="161"/>
      <c r="C769" s="162"/>
      <c r="D769" s="162"/>
      <c r="E769" s="163"/>
      <c r="F769" s="192"/>
      <c r="G769" s="192"/>
      <c r="H769" s="192"/>
      <c r="I769" s="192"/>
      <c r="J769" s="186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8"/>
      <c r="V769" s="168"/>
      <c r="W769" s="169"/>
      <c r="X769" s="169"/>
      <c r="Y769" s="170"/>
      <c r="Z769" s="193"/>
      <c r="AA769" s="194"/>
      <c r="AB769" s="194"/>
      <c r="AC769" s="194"/>
      <c r="AD769" s="194"/>
      <c r="AE769" s="194"/>
      <c r="AF769" s="194"/>
      <c r="AG769" s="194"/>
      <c r="AH769" s="194"/>
      <c r="AI769" s="194"/>
      <c r="AJ769" s="194"/>
      <c r="AK769" s="195"/>
      <c r="AL769" s="164"/>
      <c r="AM769" s="164"/>
      <c r="AN769" s="164"/>
      <c r="AO769" s="164"/>
      <c r="AP769" s="164"/>
      <c r="AQ769" s="164"/>
    </row>
    <row r="770" spans="2:43" x14ac:dyDescent="0.3">
      <c r="B770" s="161"/>
      <c r="C770" s="162"/>
      <c r="D770" s="162"/>
      <c r="E770" s="163"/>
      <c r="F770" s="192"/>
      <c r="G770" s="192"/>
      <c r="H770" s="192"/>
      <c r="I770" s="192"/>
      <c r="J770" s="189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1"/>
      <c r="V770" s="171"/>
      <c r="W770" s="172"/>
      <c r="X770" s="172"/>
      <c r="Y770" s="173"/>
      <c r="Z770" s="199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1"/>
      <c r="AL770" s="164"/>
      <c r="AM770" s="164"/>
      <c r="AN770" s="164"/>
      <c r="AO770" s="164"/>
      <c r="AP770" s="164"/>
      <c r="AQ770" s="164"/>
    </row>
    <row r="771" spans="2:43" x14ac:dyDescent="0.3">
      <c r="B771" s="161"/>
      <c r="C771" s="162"/>
      <c r="D771" s="162"/>
      <c r="E771" s="163"/>
      <c r="F771" s="192"/>
      <c r="G771" s="192"/>
      <c r="H771" s="192"/>
      <c r="I771" s="192"/>
      <c r="J771" s="183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5"/>
      <c r="V771" s="165"/>
      <c r="W771" s="166"/>
      <c r="X771" s="166"/>
      <c r="Y771" s="167"/>
      <c r="Z771" s="196"/>
      <c r="AA771" s="197"/>
      <c r="AB771" s="197"/>
      <c r="AC771" s="197"/>
      <c r="AD771" s="197"/>
      <c r="AE771" s="197"/>
      <c r="AF771" s="197"/>
      <c r="AG771" s="197"/>
      <c r="AH771" s="197"/>
      <c r="AI771" s="197"/>
      <c r="AJ771" s="197"/>
      <c r="AK771" s="198"/>
      <c r="AL771" s="164"/>
      <c r="AM771" s="164"/>
      <c r="AN771" s="164"/>
      <c r="AO771" s="164"/>
      <c r="AP771" s="164"/>
      <c r="AQ771" s="164"/>
    </row>
    <row r="772" spans="2:43" x14ac:dyDescent="0.3">
      <c r="B772" s="161"/>
      <c r="C772" s="162"/>
      <c r="D772" s="162"/>
      <c r="E772" s="163"/>
      <c r="F772" s="192"/>
      <c r="G772" s="192"/>
      <c r="H772" s="192"/>
      <c r="I772" s="192"/>
      <c r="J772" s="186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8"/>
      <c r="V772" s="168"/>
      <c r="W772" s="169"/>
      <c r="X772" s="169"/>
      <c r="Y772" s="170"/>
      <c r="Z772" s="193"/>
      <c r="AA772" s="194"/>
      <c r="AB772" s="194"/>
      <c r="AC772" s="194"/>
      <c r="AD772" s="194"/>
      <c r="AE772" s="194"/>
      <c r="AF772" s="194"/>
      <c r="AG772" s="194"/>
      <c r="AH772" s="194"/>
      <c r="AI772" s="194"/>
      <c r="AJ772" s="194"/>
      <c r="AK772" s="195"/>
      <c r="AL772" s="164"/>
      <c r="AM772" s="164"/>
      <c r="AN772" s="164"/>
      <c r="AO772" s="164"/>
      <c r="AP772" s="164"/>
      <c r="AQ772" s="164"/>
    </row>
    <row r="773" spans="2:43" x14ac:dyDescent="0.3">
      <c r="B773" s="161"/>
      <c r="C773" s="162"/>
      <c r="D773" s="162"/>
      <c r="E773" s="163"/>
      <c r="F773" s="192"/>
      <c r="G773" s="192"/>
      <c r="H773" s="192"/>
      <c r="I773" s="192"/>
      <c r="J773" s="186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8"/>
      <c r="V773" s="168"/>
      <c r="W773" s="169"/>
      <c r="X773" s="169"/>
      <c r="Y773" s="170"/>
      <c r="Z773" s="193"/>
      <c r="AA773" s="194"/>
      <c r="AB773" s="194"/>
      <c r="AC773" s="194"/>
      <c r="AD773" s="194"/>
      <c r="AE773" s="194"/>
      <c r="AF773" s="194"/>
      <c r="AG773" s="194"/>
      <c r="AH773" s="194"/>
      <c r="AI773" s="194"/>
      <c r="AJ773" s="194"/>
      <c r="AK773" s="195"/>
      <c r="AL773" s="164"/>
      <c r="AM773" s="164"/>
      <c r="AN773" s="164"/>
      <c r="AO773" s="164"/>
      <c r="AP773" s="164"/>
      <c r="AQ773" s="164"/>
    </row>
    <row r="774" spans="2:43" x14ac:dyDescent="0.3">
      <c r="B774" s="161"/>
      <c r="C774" s="162"/>
      <c r="D774" s="162"/>
      <c r="E774" s="163"/>
      <c r="F774" s="192"/>
      <c r="G774" s="192"/>
      <c r="H774" s="192"/>
      <c r="I774" s="192"/>
      <c r="J774" s="186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8"/>
      <c r="V774" s="168"/>
      <c r="W774" s="169"/>
      <c r="X774" s="169"/>
      <c r="Y774" s="170"/>
      <c r="Z774" s="193"/>
      <c r="AA774" s="194"/>
      <c r="AB774" s="194"/>
      <c r="AC774" s="194"/>
      <c r="AD774" s="194"/>
      <c r="AE774" s="194"/>
      <c r="AF774" s="194"/>
      <c r="AG774" s="194"/>
      <c r="AH774" s="194"/>
      <c r="AI774" s="194"/>
      <c r="AJ774" s="194"/>
      <c r="AK774" s="195"/>
      <c r="AL774" s="164"/>
      <c r="AM774" s="164"/>
      <c r="AN774" s="164"/>
      <c r="AO774" s="164"/>
      <c r="AP774" s="164"/>
      <c r="AQ774" s="164"/>
    </row>
    <row r="775" spans="2:43" x14ac:dyDescent="0.3">
      <c r="B775" s="161"/>
      <c r="C775" s="162"/>
      <c r="D775" s="162"/>
      <c r="E775" s="163"/>
      <c r="F775" s="192"/>
      <c r="G775" s="192"/>
      <c r="H775" s="192"/>
      <c r="I775" s="192"/>
      <c r="J775" s="186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8"/>
      <c r="V775" s="168"/>
      <c r="W775" s="169"/>
      <c r="X775" s="169"/>
      <c r="Y775" s="170"/>
      <c r="Z775" s="193"/>
      <c r="AA775" s="194"/>
      <c r="AB775" s="194"/>
      <c r="AC775" s="194"/>
      <c r="AD775" s="194"/>
      <c r="AE775" s="194"/>
      <c r="AF775" s="194"/>
      <c r="AG775" s="194"/>
      <c r="AH775" s="194"/>
      <c r="AI775" s="194"/>
      <c r="AJ775" s="194"/>
      <c r="AK775" s="195"/>
      <c r="AL775" s="164"/>
      <c r="AM775" s="164"/>
      <c r="AN775" s="164"/>
      <c r="AO775" s="164"/>
      <c r="AP775" s="164"/>
      <c r="AQ775" s="164"/>
    </row>
    <row r="776" spans="2:43" x14ac:dyDescent="0.3">
      <c r="B776" s="161"/>
      <c r="C776" s="162"/>
      <c r="D776" s="162"/>
      <c r="E776" s="163"/>
      <c r="F776" s="192"/>
      <c r="G776" s="192"/>
      <c r="H776" s="192"/>
      <c r="I776" s="192"/>
      <c r="J776" s="186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8"/>
      <c r="V776" s="168"/>
      <c r="W776" s="169"/>
      <c r="X776" s="169"/>
      <c r="Y776" s="170"/>
      <c r="Z776" s="193"/>
      <c r="AA776" s="194"/>
      <c r="AB776" s="194"/>
      <c r="AC776" s="194"/>
      <c r="AD776" s="194"/>
      <c r="AE776" s="194"/>
      <c r="AF776" s="194"/>
      <c r="AG776" s="194"/>
      <c r="AH776" s="194"/>
      <c r="AI776" s="194"/>
      <c r="AJ776" s="194"/>
      <c r="AK776" s="195"/>
      <c r="AL776" s="164"/>
      <c r="AM776" s="164"/>
      <c r="AN776" s="164"/>
      <c r="AO776" s="164"/>
      <c r="AP776" s="164"/>
      <c r="AQ776" s="164"/>
    </row>
    <row r="777" spans="2:43" x14ac:dyDescent="0.3">
      <c r="B777" s="161"/>
      <c r="C777" s="162"/>
      <c r="D777" s="162"/>
      <c r="E777" s="163"/>
      <c r="F777" s="192"/>
      <c r="G777" s="192"/>
      <c r="H777" s="192"/>
      <c r="I777" s="192"/>
      <c r="J777" s="186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8"/>
      <c r="V777" s="168"/>
      <c r="W777" s="169"/>
      <c r="X777" s="169"/>
      <c r="Y777" s="170"/>
      <c r="Z777" s="193"/>
      <c r="AA777" s="194"/>
      <c r="AB777" s="194"/>
      <c r="AC777" s="194"/>
      <c r="AD777" s="194"/>
      <c r="AE777" s="194"/>
      <c r="AF777" s="194"/>
      <c r="AG777" s="194"/>
      <c r="AH777" s="194"/>
      <c r="AI777" s="194"/>
      <c r="AJ777" s="194"/>
      <c r="AK777" s="195"/>
      <c r="AL777" s="164"/>
      <c r="AM777" s="164"/>
      <c r="AN777" s="164"/>
      <c r="AO777" s="164"/>
      <c r="AP777" s="164"/>
      <c r="AQ777" s="164"/>
    </row>
    <row r="778" spans="2:43" x14ac:dyDescent="0.3">
      <c r="B778" s="161"/>
      <c r="C778" s="162"/>
      <c r="D778" s="162"/>
      <c r="E778" s="163"/>
      <c r="F778" s="192"/>
      <c r="G778" s="192"/>
      <c r="H778" s="192"/>
      <c r="I778" s="192"/>
      <c r="J778" s="189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1"/>
      <c r="V778" s="171"/>
      <c r="W778" s="172"/>
      <c r="X778" s="172"/>
      <c r="Y778" s="173"/>
      <c r="Z778" s="199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  <c r="AK778" s="201"/>
      <c r="AL778" s="164"/>
      <c r="AM778" s="164"/>
      <c r="AN778" s="164"/>
      <c r="AO778" s="164"/>
      <c r="AP778" s="164"/>
      <c r="AQ778" s="164"/>
    </row>
    <row r="779" spans="2:43" x14ac:dyDescent="0.3">
      <c r="B779" s="161"/>
      <c r="C779" s="162"/>
      <c r="D779" s="162"/>
      <c r="E779" s="163"/>
      <c r="F779" s="192"/>
      <c r="G779" s="192"/>
      <c r="H779" s="192"/>
      <c r="I779" s="192"/>
      <c r="J779" s="183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5"/>
      <c r="V779" s="165"/>
      <c r="W779" s="166"/>
      <c r="X779" s="166"/>
      <c r="Y779" s="167"/>
      <c r="Z779" s="196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8"/>
      <c r="AL779" s="164"/>
      <c r="AM779" s="164"/>
      <c r="AN779" s="164"/>
      <c r="AO779" s="164"/>
      <c r="AP779" s="164"/>
      <c r="AQ779" s="164"/>
    </row>
    <row r="780" spans="2:43" x14ac:dyDescent="0.3">
      <c r="B780" s="161"/>
      <c r="C780" s="162"/>
      <c r="D780" s="162"/>
      <c r="E780" s="163"/>
      <c r="F780" s="192"/>
      <c r="G780" s="192"/>
      <c r="H780" s="192"/>
      <c r="I780" s="192"/>
      <c r="J780" s="186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8"/>
      <c r="V780" s="168"/>
      <c r="W780" s="169"/>
      <c r="X780" s="169"/>
      <c r="Y780" s="170"/>
      <c r="Z780" s="193"/>
      <c r="AA780" s="194"/>
      <c r="AB780" s="194"/>
      <c r="AC780" s="194"/>
      <c r="AD780" s="194"/>
      <c r="AE780" s="194"/>
      <c r="AF780" s="194"/>
      <c r="AG780" s="194"/>
      <c r="AH780" s="194"/>
      <c r="AI780" s="194"/>
      <c r="AJ780" s="194"/>
      <c r="AK780" s="195"/>
      <c r="AL780" s="164"/>
      <c r="AM780" s="164"/>
      <c r="AN780" s="164"/>
      <c r="AO780" s="164"/>
      <c r="AP780" s="164"/>
      <c r="AQ780" s="164"/>
    </row>
    <row r="781" spans="2:43" x14ac:dyDescent="0.3">
      <c r="B781" s="161"/>
      <c r="C781" s="162"/>
      <c r="D781" s="162"/>
      <c r="E781" s="163"/>
      <c r="F781" s="192"/>
      <c r="G781" s="192"/>
      <c r="H781" s="192"/>
      <c r="I781" s="192"/>
      <c r="J781" s="186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8"/>
      <c r="V781" s="168"/>
      <c r="W781" s="169"/>
      <c r="X781" s="169"/>
      <c r="Y781" s="170"/>
      <c r="Z781" s="193"/>
      <c r="AA781" s="194"/>
      <c r="AB781" s="194"/>
      <c r="AC781" s="194"/>
      <c r="AD781" s="194"/>
      <c r="AE781" s="194"/>
      <c r="AF781" s="194"/>
      <c r="AG781" s="194"/>
      <c r="AH781" s="194"/>
      <c r="AI781" s="194"/>
      <c r="AJ781" s="194"/>
      <c r="AK781" s="195"/>
      <c r="AL781" s="164"/>
      <c r="AM781" s="164"/>
      <c r="AN781" s="164"/>
      <c r="AO781" s="164"/>
      <c r="AP781" s="164"/>
      <c r="AQ781" s="164"/>
    </row>
    <row r="782" spans="2:43" x14ac:dyDescent="0.3">
      <c r="B782" s="161"/>
      <c r="C782" s="162"/>
      <c r="D782" s="162"/>
      <c r="E782" s="163"/>
      <c r="F782" s="192"/>
      <c r="G782" s="192"/>
      <c r="H782" s="192"/>
      <c r="I782" s="192"/>
      <c r="J782" s="186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8"/>
      <c r="V782" s="168"/>
      <c r="W782" s="169"/>
      <c r="X782" s="169"/>
      <c r="Y782" s="170"/>
      <c r="Z782" s="193"/>
      <c r="AA782" s="194"/>
      <c r="AB782" s="194"/>
      <c r="AC782" s="194"/>
      <c r="AD782" s="194"/>
      <c r="AE782" s="194"/>
      <c r="AF782" s="194"/>
      <c r="AG782" s="194"/>
      <c r="AH782" s="194"/>
      <c r="AI782" s="194"/>
      <c r="AJ782" s="194"/>
      <c r="AK782" s="195"/>
      <c r="AL782" s="164"/>
      <c r="AM782" s="164"/>
      <c r="AN782" s="164"/>
      <c r="AO782" s="164"/>
      <c r="AP782" s="164"/>
      <c r="AQ782" s="164"/>
    </row>
    <row r="783" spans="2:43" x14ac:dyDescent="0.3">
      <c r="B783" s="161"/>
      <c r="C783" s="162"/>
      <c r="D783" s="162"/>
      <c r="E783" s="163"/>
      <c r="F783" s="192"/>
      <c r="G783" s="192"/>
      <c r="H783" s="192"/>
      <c r="I783" s="192"/>
      <c r="J783" s="186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8"/>
      <c r="V783" s="168"/>
      <c r="W783" s="169"/>
      <c r="X783" s="169"/>
      <c r="Y783" s="170"/>
      <c r="Z783" s="193"/>
      <c r="AA783" s="194"/>
      <c r="AB783" s="194"/>
      <c r="AC783" s="194"/>
      <c r="AD783" s="194"/>
      <c r="AE783" s="194"/>
      <c r="AF783" s="194"/>
      <c r="AG783" s="194"/>
      <c r="AH783" s="194"/>
      <c r="AI783" s="194"/>
      <c r="AJ783" s="194"/>
      <c r="AK783" s="195"/>
      <c r="AL783" s="164"/>
      <c r="AM783" s="164"/>
      <c r="AN783" s="164"/>
      <c r="AO783" s="164"/>
      <c r="AP783" s="164"/>
      <c r="AQ783" s="164"/>
    </row>
    <row r="784" spans="2:43" x14ac:dyDescent="0.3">
      <c r="B784" s="161"/>
      <c r="C784" s="162"/>
      <c r="D784" s="162"/>
      <c r="E784" s="163"/>
      <c r="F784" s="192"/>
      <c r="G784" s="192"/>
      <c r="H784" s="192"/>
      <c r="I784" s="192"/>
      <c r="J784" s="186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8"/>
      <c r="V784" s="168"/>
      <c r="W784" s="169"/>
      <c r="X784" s="169"/>
      <c r="Y784" s="170"/>
      <c r="Z784" s="193"/>
      <c r="AA784" s="194"/>
      <c r="AB784" s="194"/>
      <c r="AC784" s="194"/>
      <c r="AD784" s="194"/>
      <c r="AE784" s="194"/>
      <c r="AF784" s="194"/>
      <c r="AG784" s="194"/>
      <c r="AH784" s="194"/>
      <c r="AI784" s="194"/>
      <c r="AJ784" s="194"/>
      <c r="AK784" s="195"/>
      <c r="AL784" s="164"/>
      <c r="AM784" s="164"/>
      <c r="AN784" s="164"/>
      <c r="AO784" s="164"/>
      <c r="AP784" s="164"/>
      <c r="AQ784" s="164"/>
    </row>
    <row r="785" spans="2:43" x14ac:dyDescent="0.3">
      <c r="B785" s="161"/>
      <c r="C785" s="162"/>
      <c r="D785" s="162"/>
      <c r="E785" s="163"/>
      <c r="F785" s="192"/>
      <c r="G785" s="192"/>
      <c r="H785" s="192"/>
      <c r="I785" s="192"/>
      <c r="J785" s="186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8"/>
      <c r="V785" s="168"/>
      <c r="W785" s="169"/>
      <c r="X785" s="169"/>
      <c r="Y785" s="170"/>
      <c r="Z785" s="193"/>
      <c r="AA785" s="194"/>
      <c r="AB785" s="194"/>
      <c r="AC785" s="194"/>
      <c r="AD785" s="194"/>
      <c r="AE785" s="194"/>
      <c r="AF785" s="194"/>
      <c r="AG785" s="194"/>
      <c r="AH785" s="194"/>
      <c r="AI785" s="194"/>
      <c r="AJ785" s="194"/>
      <c r="AK785" s="195"/>
      <c r="AL785" s="164"/>
      <c r="AM785" s="164"/>
      <c r="AN785" s="164"/>
      <c r="AO785" s="164"/>
      <c r="AP785" s="164"/>
      <c r="AQ785" s="164"/>
    </row>
    <row r="786" spans="2:43" x14ac:dyDescent="0.3">
      <c r="B786" s="161"/>
      <c r="C786" s="162"/>
      <c r="D786" s="162"/>
      <c r="E786" s="163"/>
      <c r="F786" s="192"/>
      <c r="G786" s="192"/>
      <c r="H786" s="192"/>
      <c r="I786" s="192"/>
      <c r="J786" s="189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1"/>
      <c r="V786" s="171"/>
      <c r="W786" s="172"/>
      <c r="X786" s="172"/>
      <c r="Y786" s="173"/>
      <c r="Z786" s="199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1"/>
      <c r="AL786" s="164"/>
      <c r="AM786" s="164"/>
      <c r="AN786" s="164"/>
      <c r="AO786" s="164"/>
      <c r="AP786" s="164"/>
      <c r="AQ786" s="164"/>
    </row>
    <row r="787" spans="2:43" x14ac:dyDescent="0.3">
      <c r="B787" s="161"/>
      <c r="C787" s="162"/>
      <c r="D787" s="162"/>
      <c r="E787" s="163"/>
      <c r="F787" s="192"/>
      <c r="G787" s="192"/>
      <c r="H787" s="192"/>
      <c r="I787" s="192"/>
      <c r="J787" s="183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5"/>
      <c r="V787" s="165"/>
      <c r="W787" s="166"/>
      <c r="X787" s="166"/>
      <c r="Y787" s="167"/>
      <c r="Z787" s="196"/>
      <c r="AA787" s="197"/>
      <c r="AB787" s="197"/>
      <c r="AC787" s="197"/>
      <c r="AD787" s="197"/>
      <c r="AE787" s="197"/>
      <c r="AF787" s="197"/>
      <c r="AG787" s="197"/>
      <c r="AH787" s="197"/>
      <c r="AI787" s="197"/>
      <c r="AJ787" s="197"/>
      <c r="AK787" s="198"/>
      <c r="AL787" s="164"/>
      <c r="AM787" s="164"/>
      <c r="AN787" s="164"/>
      <c r="AO787" s="164"/>
      <c r="AP787" s="164"/>
      <c r="AQ787" s="164"/>
    </row>
    <row r="788" spans="2:43" x14ac:dyDescent="0.3">
      <c r="B788" s="161"/>
      <c r="C788" s="162"/>
      <c r="D788" s="162"/>
      <c r="E788" s="163"/>
      <c r="F788" s="192"/>
      <c r="G788" s="192"/>
      <c r="H788" s="192"/>
      <c r="I788" s="192"/>
      <c r="J788" s="186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8"/>
      <c r="V788" s="168"/>
      <c r="W788" s="169"/>
      <c r="X788" s="169"/>
      <c r="Y788" s="170"/>
      <c r="Z788" s="193"/>
      <c r="AA788" s="194"/>
      <c r="AB788" s="194"/>
      <c r="AC788" s="194"/>
      <c r="AD788" s="194"/>
      <c r="AE788" s="194"/>
      <c r="AF788" s="194"/>
      <c r="AG788" s="194"/>
      <c r="AH788" s="194"/>
      <c r="AI788" s="194"/>
      <c r="AJ788" s="194"/>
      <c r="AK788" s="195"/>
      <c r="AL788" s="164"/>
      <c r="AM788" s="164"/>
      <c r="AN788" s="164"/>
      <c r="AO788" s="164"/>
      <c r="AP788" s="164"/>
      <c r="AQ788" s="164"/>
    </row>
    <row r="789" spans="2:43" x14ac:dyDescent="0.3">
      <c r="B789" s="161"/>
      <c r="C789" s="162"/>
      <c r="D789" s="162"/>
      <c r="E789" s="163"/>
      <c r="F789" s="192"/>
      <c r="G789" s="192"/>
      <c r="H789" s="192"/>
      <c r="I789" s="192"/>
      <c r="J789" s="186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8"/>
      <c r="V789" s="168"/>
      <c r="W789" s="169"/>
      <c r="X789" s="169"/>
      <c r="Y789" s="170"/>
      <c r="Z789" s="193"/>
      <c r="AA789" s="194"/>
      <c r="AB789" s="194"/>
      <c r="AC789" s="194"/>
      <c r="AD789" s="194"/>
      <c r="AE789" s="194"/>
      <c r="AF789" s="194"/>
      <c r="AG789" s="194"/>
      <c r="AH789" s="194"/>
      <c r="AI789" s="194"/>
      <c r="AJ789" s="194"/>
      <c r="AK789" s="195"/>
      <c r="AL789" s="164"/>
      <c r="AM789" s="164"/>
      <c r="AN789" s="164"/>
      <c r="AO789" s="164"/>
      <c r="AP789" s="164"/>
      <c r="AQ789" s="164"/>
    </row>
    <row r="790" spans="2:43" x14ac:dyDescent="0.3">
      <c r="B790" s="161"/>
      <c r="C790" s="162"/>
      <c r="D790" s="162"/>
      <c r="E790" s="163"/>
      <c r="F790" s="192"/>
      <c r="G790" s="192"/>
      <c r="H790" s="192"/>
      <c r="I790" s="192"/>
      <c r="J790" s="186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8"/>
      <c r="V790" s="168"/>
      <c r="W790" s="169"/>
      <c r="X790" s="169"/>
      <c r="Y790" s="170"/>
      <c r="Z790" s="193"/>
      <c r="AA790" s="194"/>
      <c r="AB790" s="194"/>
      <c r="AC790" s="194"/>
      <c r="AD790" s="194"/>
      <c r="AE790" s="194"/>
      <c r="AF790" s="194"/>
      <c r="AG790" s="194"/>
      <c r="AH790" s="194"/>
      <c r="AI790" s="194"/>
      <c r="AJ790" s="194"/>
      <c r="AK790" s="195"/>
      <c r="AL790" s="164"/>
      <c r="AM790" s="164"/>
      <c r="AN790" s="164"/>
      <c r="AO790" s="164"/>
      <c r="AP790" s="164"/>
      <c r="AQ790" s="164"/>
    </row>
    <row r="791" spans="2:43" x14ac:dyDescent="0.3">
      <c r="B791" s="161"/>
      <c r="C791" s="162"/>
      <c r="D791" s="162"/>
      <c r="E791" s="163"/>
      <c r="F791" s="192"/>
      <c r="G791" s="192"/>
      <c r="H791" s="192"/>
      <c r="I791" s="192"/>
      <c r="J791" s="186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8"/>
      <c r="V791" s="168"/>
      <c r="W791" s="169"/>
      <c r="X791" s="169"/>
      <c r="Y791" s="170"/>
      <c r="Z791" s="193"/>
      <c r="AA791" s="194"/>
      <c r="AB791" s="194"/>
      <c r="AC791" s="194"/>
      <c r="AD791" s="194"/>
      <c r="AE791" s="194"/>
      <c r="AF791" s="194"/>
      <c r="AG791" s="194"/>
      <c r="AH791" s="194"/>
      <c r="AI791" s="194"/>
      <c r="AJ791" s="194"/>
      <c r="AK791" s="195"/>
      <c r="AL791" s="164"/>
      <c r="AM791" s="164"/>
      <c r="AN791" s="164"/>
      <c r="AO791" s="164"/>
      <c r="AP791" s="164"/>
      <c r="AQ791" s="164"/>
    </row>
    <row r="792" spans="2:43" x14ac:dyDescent="0.3">
      <c r="B792" s="161"/>
      <c r="C792" s="162"/>
      <c r="D792" s="162"/>
      <c r="E792" s="163"/>
      <c r="F792" s="192"/>
      <c r="G792" s="192"/>
      <c r="H792" s="192"/>
      <c r="I792" s="192"/>
      <c r="J792" s="186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8"/>
      <c r="V792" s="168"/>
      <c r="W792" s="169"/>
      <c r="X792" s="169"/>
      <c r="Y792" s="170"/>
      <c r="Z792" s="193"/>
      <c r="AA792" s="194"/>
      <c r="AB792" s="194"/>
      <c r="AC792" s="194"/>
      <c r="AD792" s="194"/>
      <c r="AE792" s="194"/>
      <c r="AF792" s="194"/>
      <c r="AG792" s="194"/>
      <c r="AH792" s="194"/>
      <c r="AI792" s="194"/>
      <c r="AJ792" s="194"/>
      <c r="AK792" s="195"/>
      <c r="AL792" s="164"/>
      <c r="AM792" s="164"/>
      <c r="AN792" s="164"/>
      <c r="AO792" s="164"/>
      <c r="AP792" s="164"/>
      <c r="AQ792" s="164"/>
    </row>
    <row r="793" spans="2:43" x14ac:dyDescent="0.3">
      <c r="B793" s="161"/>
      <c r="C793" s="162"/>
      <c r="D793" s="162"/>
      <c r="E793" s="163"/>
      <c r="F793" s="192"/>
      <c r="G793" s="192"/>
      <c r="H793" s="192"/>
      <c r="I793" s="192"/>
      <c r="J793" s="186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8"/>
      <c r="V793" s="168"/>
      <c r="W793" s="169"/>
      <c r="X793" s="169"/>
      <c r="Y793" s="170"/>
      <c r="Z793" s="193"/>
      <c r="AA793" s="194"/>
      <c r="AB793" s="194"/>
      <c r="AC793" s="194"/>
      <c r="AD793" s="194"/>
      <c r="AE793" s="194"/>
      <c r="AF793" s="194"/>
      <c r="AG793" s="194"/>
      <c r="AH793" s="194"/>
      <c r="AI793" s="194"/>
      <c r="AJ793" s="194"/>
      <c r="AK793" s="195"/>
      <c r="AL793" s="164"/>
      <c r="AM793" s="164"/>
      <c r="AN793" s="164"/>
      <c r="AO793" s="164"/>
      <c r="AP793" s="164"/>
      <c r="AQ793" s="164"/>
    </row>
    <row r="794" spans="2:43" x14ac:dyDescent="0.3">
      <c r="B794" s="161"/>
      <c r="C794" s="162"/>
      <c r="D794" s="162"/>
      <c r="E794" s="163"/>
      <c r="F794" s="192"/>
      <c r="G794" s="192"/>
      <c r="H794" s="192"/>
      <c r="I794" s="192"/>
      <c r="J794" s="189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1"/>
      <c r="V794" s="171"/>
      <c r="W794" s="172"/>
      <c r="X794" s="172"/>
      <c r="Y794" s="173"/>
      <c r="Z794" s="199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  <c r="AK794" s="201"/>
      <c r="AL794" s="164"/>
      <c r="AM794" s="164"/>
      <c r="AN794" s="164"/>
      <c r="AO794" s="164"/>
      <c r="AP794" s="164"/>
      <c r="AQ794" s="164"/>
    </row>
    <row r="795" spans="2:43" x14ac:dyDescent="0.3">
      <c r="B795" s="161"/>
      <c r="C795" s="162"/>
      <c r="D795" s="162"/>
      <c r="E795" s="163"/>
      <c r="F795" s="192"/>
      <c r="G795" s="192"/>
      <c r="H795" s="192"/>
      <c r="I795" s="192"/>
      <c r="J795" s="174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6"/>
      <c r="V795" s="165"/>
      <c r="W795" s="166"/>
      <c r="X795" s="166"/>
      <c r="Y795" s="167"/>
      <c r="Z795" s="196"/>
      <c r="AA795" s="197"/>
      <c r="AB795" s="197"/>
      <c r="AC795" s="197"/>
      <c r="AD795" s="197"/>
      <c r="AE795" s="197"/>
      <c r="AF795" s="197"/>
      <c r="AG795" s="197"/>
      <c r="AH795" s="197"/>
      <c r="AI795" s="197"/>
      <c r="AJ795" s="197"/>
      <c r="AK795" s="198"/>
      <c r="AL795" s="164"/>
      <c r="AM795" s="164"/>
      <c r="AN795" s="164"/>
      <c r="AO795" s="164"/>
      <c r="AP795" s="164"/>
      <c r="AQ795" s="164"/>
    </row>
    <row r="796" spans="2:43" x14ac:dyDescent="0.3">
      <c r="B796" s="161"/>
      <c r="C796" s="162"/>
      <c r="D796" s="162"/>
      <c r="E796" s="163"/>
      <c r="F796" s="192"/>
      <c r="G796" s="192"/>
      <c r="H796" s="192"/>
      <c r="I796" s="192"/>
      <c r="J796" s="177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9"/>
      <c r="V796" s="168"/>
      <c r="W796" s="169"/>
      <c r="X796" s="169"/>
      <c r="Y796" s="170"/>
      <c r="Z796" s="193"/>
      <c r="AA796" s="194"/>
      <c r="AB796" s="194"/>
      <c r="AC796" s="194"/>
      <c r="AD796" s="194"/>
      <c r="AE796" s="194"/>
      <c r="AF796" s="194"/>
      <c r="AG796" s="194"/>
      <c r="AH796" s="194"/>
      <c r="AI796" s="194"/>
      <c r="AJ796" s="194"/>
      <c r="AK796" s="195"/>
      <c r="AL796" s="164"/>
      <c r="AM796" s="164"/>
      <c r="AN796" s="164"/>
      <c r="AO796" s="164"/>
      <c r="AP796" s="164"/>
      <c r="AQ796" s="164"/>
    </row>
    <row r="797" spans="2:43" x14ac:dyDescent="0.3">
      <c r="B797" s="161"/>
      <c r="C797" s="162"/>
      <c r="D797" s="162"/>
      <c r="E797" s="163"/>
      <c r="F797" s="192"/>
      <c r="G797" s="192"/>
      <c r="H797" s="192"/>
      <c r="I797" s="192"/>
      <c r="J797" s="177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9"/>
      <c r="V797" s="168"/>
      <c r="W797" s="169"/>
      <c r="X797" s="169"/>
      <c r="Y797" s="170"/>
      <c r="Z797" s="193"/>
      <c r="AA797" s="194"/>
      <c r="AB797" s="194"/>
      <c r="AC797" s="194"/>
      <c r="AD797" s="194"/>
      <c r="AE797" s="194"/>
      <c r="AF797" s="194"/>
      <c r="AG797" s="194"/>
      <c r="AH797" s="194"/>
      <c r="AI797" s="194"/>
      <c r="AJ797" s="194"/>
      <c r="AK797" s="195"/>
      <c r="AL797" s="164"/>
      <c r="AM797" s="164"/>
      <c r="AN797" s="164"/>
      <c r="AO797" s="164"/>
      <c r="AP797" s="164"/>
      <c r="AQ797" s="164"/>
    </row>
    <row r="798" spans="2:43" x14ac:dyDescent="0.3">
      <c r="B798" s="161"/>
      <c r="C798" s="162"/>
      <c r="D798" s="162"/>
      <c r="E798" s="163"/>
      <c r="F798" s="192"/>
      <c r="G798" s="192"/>
      <c r="H798" s="192"/>
      <c r="I798" s="192"/>
      <c r="J798" s="177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9"/>
      <c r="V798" s="168"/>
      <c r="W798" s="169"/>
      <c r="X798" s="169"/>
      <c r="Y798" s="170"/>
      <c r="Z798" s="193"/>
      <c r="AA798" s="194"/>
      <c r="AB798" s="194"/>
      <c r="AC798" s="194"/>
      <c r="AD798" s="194"/>
      <c r="AE798" s="194"/>
      <c r="AF798" s="194"/>
      <c r="AG798" s="194"/>
      <c r="AH798" s="194"/>
      <c r="AI798" s="194"/>
      <c r="AJ798" s="194"/>
      <c r="AK798" s="195"/>
      <c r="AL798" s="164"/>
      <c r="AM798" s="164"/>
      <c r="AN798" s="164"/>
      <c r="AO798" s="164"/>
      <c r="AP798" s="164"/>
      <c r="AQ798" s="164"/>
    </row>
    <row r="799" spans="2:43" x14ac:dyDescent="0.3">
      <c r="B799" s="161"/>
      <c r="C799" s="162"/>
      <c r="D799" s="162"/>
      <c r="E799" s="163"/>
      <c r="F799" s="192"/>
      <c r="G799" s="192"/>
      <c r="H799" s="192"/>
      <c r="I799" s="192"/>
      <c r="J799" s="177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9"/>
      <c r="V799" s="168"/>
      <c r="W799" s="169"/>
      <c r="X799" s="169"/>
      <c r="Y799" s="170"/>
      <c r="Z799" s="193"/>
      <c r="AA799" s="194"/>
      <c r="AB799" s="194"/>
      <c r="AC799" s="194"/>
      <c r="AD799" s="194"/>
      <c r="AE799" s="194"/>
      <c r="AF799" s="194"/>
      <c r="AG799" s="194"/>
      <c r="AH799" s="194"/>
      <c r="AI799" s="194"/>
      <c r="AJ799" s="194"/>
      <c r="AK799" s="195"/>
      <c r="AL799" s="164"/>
      <c r="AM799" s="164"/>
      <c r="AN799" s="164"/>
      <c r="AO799" s="164"/>
      <c r="AP799" s="164"/>
      <c r="AQ799" s="164"/>
    </row>
    <row r="800" spans="2:43" x14ac:dyDescent="0.3">
      <c r="B800" s="161"/>
      <c r="C800" s="162"/>
      <c r="D800" s="162"/>
      <c r="E800" s="163"/>
      <c r="F800" s="192"/>
      <c r="G800" s="192"/>
      <c r="H800" s="192"/>
      <c r="I800" s="192"/>
      <c r="J800" s="177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9"/>
      <c r="V800" s="168"/>
      <c r="W800" s="169"/>
      <c r="X800" s="169"/>
      <c r="Y800" s="170"/>
      <c r="Z800" s="193"/>
      <c r="AA800" s="194"/>
      <c r="AB800" s="194"/>
      <c r="AC800" s="194"/>
      <c r="AD800" s="194"/>
      <c r="AE800" s="194"/>
      <c r="AF800" s="194"/>
      <c r="AG800" s="194"/>
      <c r="AH800" s="194"/>
      <c r="AI800" s="194"/>
      <c r="AJ800" s="194"/>
      <c r="AK800" s="195"/>
      <c r="AL800" s="164"/>
      <c r="AM800" s="164"/>
      <c r="AN800" s="164"/>
      <c r="AO800" s="164"/>
      <c r="AP800" s="164"/>
      <c r="AQ800" s="164"/>
    </row>
    <row r="801" spans="2:43" x14ac:dyDescent="0.3">
      <c r="B801" s="161"/>
      <c r="C801" s="162"/>
      <c r="D801" s="162"/>
      <c r="E801" s="163"/>
      <c r="F801" s="192"/>
      <c r="G801" s="192"/>
      <c r="H801" s="192"/>
      <c r="I801" s="192"/>
      <c r="J801" s="177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9"/>
      <c r="V801" s="168"/>
      <c r="W801" s="169"/>
      <c r="X801" s="169"/>
      <c r="Y801" s="170"/>
      <c r="Z801" s="193"/>
      <c r="AA801" s="194"/>
      <c r="AB801" s="194"/>
      <c r="AC801" s="194"/>
      <c r="AD801" s="194"/>
      <c r="AE801" s="194"/>
      <c r="AF801" s="194"/>
      <c r="AG801" s="194"/>
      <c r="AH801" s="194"/>
      <c r="AI801" s="194"/>
      <c r="AJ801" s="194"/>
      <c r="AK801" s="195"/>
      <c r="AL801" s="164"/>
      <c r="AM801" s="164"/>
      <c r="AN801" s="164"/>
      <c r="AO801" s="164"/>
      <c r="AP801" s="164"/>
      <c r="AQ801" s="164"/>
    </row>
    <row r="802" spans="2:43" x14ac:dyDescent="0.3">
      <c r="B802" s="161"/>
      <c r="C802" s="162"/>
      <c r="D802" s="162"/>
      <c r="E802" s="163"/>
      <c r="F802" s="192"/>
      <c r="G802" s="192"/>
      <c r="H802" s="192"/>
      <c r="I802" s="192"/>
      <c r="J802" s="180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2"/>
      <c r="V802" s="171"/>
      <c r="W802" s="172"/>
      <c r="X802" s="172"/>
      <c r="Y802" s="173"/>
      <c r="Z802" s="199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  <c r="AK802" s="201"/>
      <c r="AL802" s="164"/>
      <c r="AM802" s="164"/>
      <c r="AN802" s="164"/>
      <c r="AO802" s="164"/>
      <c r="AP802" s="164"/>
      <c r="AQ802" s="164"/>
    </row>
    <row r="803" spans="2:43" x14ac:dyDescent="0.3">
      <c r="B803" s="161"/>
      <c r="C803" s="162"/>
      <c r="D803" s="162"/>
      <c r="E803" s="163"/>
      <c r="F803" s="192"/>
      <c r="G803" s="192"/>
      <c r="H803" s="192"/>
      <c r="I803" s="192"/>
      <c r="J803" s="183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5"/>
      <c r="V803" s="165"/>
      <c r="W803" s="166"/>
      <c r="X803" s="166"/>
      <c r="Y803" s="167"/>
      <c r="Z803" s="196"/>
      <c r="AA803" s="197"/>
      <c r="AB803" s="197"/>
      <c r="AC803" s="197"/>
      <c r="AD803" s="197"/>
      <c r="AE803" s="197"/>
      <c r="AF803" s="197"/>
      <c r="AG803" s="197"/>
      <c r="AH803" s="197"/>
      <c r="AI803" s="197"/>
      <c r="AJ803" s="197"/>
      <c r="AK803" s="198"/>
      <c r="AL803" s="164"/>
      <c r="AM803" s="164"/>
      <c r="AN803" s="164"/>
      <c r="AO803" s="164"/>
      <c r="AP803" s="164"/>
      <c r="AQ803" s="164"/>
    </row>
    <row r="804" spans="2:43" x14ac:dyDescent="0.3">
      <c r="B804" s="161"/>
      <c r="C804" s="162"/>
      <c r="D804" s="162"/>
      <c r="E804" s="163"/>
      <c r="F804" s="192"/>
      <c r="G804" s="192"/>
      <c r="H804" s="192"/>
      <c r="I804" s="192"/>
      <c r="J804" s="186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8"/>
      <c r="V804" s="168"/>
      <c r="W804" s="169"/>
      <c r="X804" s="169"/>
      <c r="Y804" s="170"/>
      <c r="Z804" s="193"/>
      <c r="AA804" s="194"/>
      <c r="AB804" s="194"/>
      <c r="AC804" s="194"/>
      <c r="AD804" s="194"/>
      <c r="AE804" s="194"/>
      <c r="AF804" s="194"/>
      <c r="AG804" s="194"/>
      <c r="AH804" s="194"/>
      <c r="AI804" s="194"/>
      <c r="AJ804" s="194"/>
      <c r="AK804" s="195"/>
      <c r="AL804" s="164"/>
      <c r="AM804" s="164"/>
      <c r="AN804" s="164"/>
      <c r="AO804" s="164"/>
      <c r="AP804" s="164"/>
      <c r="AQ804" s="164"/>
    </row>
    <row r="805" spans="2:43" x14ac:dyDescent="0.3">
      <c r="B805" s="161"/>
      <c r="C805" s="162"/>
      <c r="D805" s="162"/>
      <c r="E805" s="163"/>
      <c r="F805" s="192"/>
      <c r="G805" s="192"/>
      <c r="H805" s="192"/>
      <c r="I805" s="192"/>
      <c r="J805" s="186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8"/>
      <c r="V805" s="168"/>
      <c r="W805" s="169"/>
      <c r="X805" s="169"/>
      <c r="Y805" s="170"/>
      <c r="Z805" s="193"/>
      <c r="AA805" s="194"/>
      <c r="AB805" s="194"/>
      <c r="AC805" s="194"/>
      <c r="AD805" s="194"/>
      <c r="AE805" s="194"/>
      <c r="AF805" s="194"/>
      <c r="AG805" s="194"/>
      <c r="AH805" s="194"/>
      <c r="AI805" s="194"/>
      <c r="AJ805" s="194"/>
      <c r="AK805" s="195"/>
      <c r="AL805" s="164"/>
      <c r="AM805" s="164"/>
      <c r="AN805" s="164"/>
      <c r="AO805" s="164"/>
      <c r="AP805" s="164"/>
      <c r="AQ805" s="164"/>
    </row>
    <row r="806" spans="2:43" x14ac:dyDescent="0.3">
      <c r="B806" s="161"/>
      <c r="C806" s="162"/>
      <c r="D806" s="162"/>
      <c r="E806" s="163"/>
      <c r="F806" s="192"/>
      <c r="G806" s="192"/>
      <c r="H806" s="192"/>
      <c r="I806" s="192"/>
      <c r="J806" s="186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8"/>
      <c r="V806" s="168"/>
      <c r="W806" s="169"/>
      <c r="X806" s="169"/>
      <c r="Y806" s="170"/>
      <c r="Z806" s="193"/>
      <c r="AA806" s="194"/>
      <c r="AB806" s="194"/>
      <c r="AC806" s="194"/>
      <c r="AD806" s="194"/>
      <c r="AE806" s="194"/>
      <c r="AF806" s="194"/>
      <c r="AG806" s="194"/>
      <c r="AH806" s="194"/>
      <c r="AI806" s="194"/>
      <c r="AJ806" s="194"/>
      <c r="AK806" s="195"/>
      <c r="AL806" s="164"/>
      <c r="AM806" s="164"/>
      <c r="AN806" s="164"/>
      <c r="AO806" s="164"/>
      <c r="AP806" s="164"/>
      <c r="AQ806" s="164"/>
    </row>
    <row r="807" spans="2:43" x14ac:dyDescent="0.3">
      <c r="B807" s="161"/>
      <c r="C807" s="162"/>
      <c r="D807" s="162"/>
      <c r="E807" s="163"/>
      <c r="F807" s="192"/>
      <c r="G807" s="192"/>
      <c r="H807" s="192"/>
      <c r="I807" s="192"/>
      <c r="J807" s="186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8"/>
      <c r="V807" s="168"/>
      <c r="W807" s="169"/>
      <c r="X807" s="169"/>
      <c r="Y807" s="170"/>
      <c r="Z807" s="193"/>
      <c r="AA807" s="194"/>
      <c r="AB807" s="194"/>
      <c r="AC807" s="194"/>
      <c r="AD807" s="194"/>
      <c r="AE807" s="194"/>
      <c r="AF807" s="194"/>
      <c r="AG807" s="194"/>
      <c r="AH807" s="194"/>
      <c r="AI807" s="194"/>
      <c r="AJ807" s="194"/>
      <c r="AK807" s="195"/>
      <c r="AL807" s="164"/>
      <c r="AM807" s="164"/>
      <c r="AN807" s="164"/>
      <c r="AO807" s="164"/>
      <c r="AP807" s="164"/>
      <c r="AQ807" s="164"/>
    </row>
    <row r="808" spans="2:43" x14ac:dyDescent="0.3">
      <c r="B808" s="161"/>
      <c r="C808" s="162"/>
      <c r="D808" s="162"/>
      <c r="E808" s="163"/>
      <c r="F808" s="192"/>
      <c r="G808" s="192"/>
      <c r="H808" s="192"/>
      <c r="I808" s="192"/>
      <c r="J808" s="186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8"/>
      <c r="V808" s="168"/>
      <c r="W808" s="169"/>
      <c r="X808" s="169"/>
      <c r="Y808" s="170"/>
      <c r="Z808" s="193"/>
      <c r="AA808" s="194"/>
      <c r="AB808" s="194"/>
      <c r="AC808" s="194"/>
      <c r="AD808" s="194"/>
      <c r="AE808" s="194"/>
      <c r="AF808" s="194"/>
      <c r="AG808" s="194"/>
      <c r="AH808" s="194"/>
      <c r="AI808" s="194"/>
      <c r="AJ808" s="194"/>
      <c r="AK808" s="195"/>
      <c r="AL808" s="164"/>
      <c r="AM808" s="164"/>
      <c r="AN808" s="164"/>
      <c r="AO808" s="164"/>
      <c r="AP808" s="164"/>
      <c r="AQ808" s="164"/>
    </row>
    <row r="809" spans="2:43" x14ac:dyDescent="0.3">
      <c r="B809" s="161"/>
      <c r="C809" s="162"/>
      <c r="D809" s="162"/>
      <c r="E809" s="163"/>
      <c r="F809" s="192"/>
      <c r="G809" s="192"/>
      <c r="H809" s="192"/>
      <c r="I809" s="192"/>
      <c r="J809" s="186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8"/>
      <c r="V809" s="168"/>
      <c r="W809" s="169"/>
      <c r="X809" s="169"/>
      <c r="Y809" s="170"/>
      <c r="Z809" s="193"/>
      <c r="AA809" s="194"/>
      <c r="AB809" s="194"/>
      <c r="AC809" s="194"/>
      <c r="AD809" s="194"/>
      <c r="AE809" s="194"/>
      <c r="AF809" s="194"/>
      <c r="AG809" s="194"/>
      <c r="AH809" s="194"/>
      <c r="AI809" s="194"/>
      <c r="AJ809" s="194"/>
      <c r="AK809" s="195"/>
      <c r="AL809" s="164"/>
      <c r="AM809" s="164"/>
      <c r="AN809" s="164"/>
      <c r="AO809" s="164"/>
      <c r="AP809" s="164"/>
      <c r="AQ809" s="164"/>
    </row>
    <row r="810" spans="2:43" x14ac:dyDescent="0.3">
      <c r="B810" s="161"/>
      <c r="C810" s="162"/>
      <c r="D810" s="162"/>
      <c r="E810" s="163"/>
      <c r="F810" s="192"/>
      <c r="G810" s="192"/>
      <c r="H810" s="192"/>
      <c r="I810" s="192"/>
      <c r="J810" s="189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1"/>
      <c r="V810" s="171"/>
      <c r="W810" s="172"/>
      <c r="X810" s="172"/>
      <c r="Y810" s="173"/>
      <c r="Z810" s="199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  <c r="AK810" s="201"/>
      <c r="AL810" s="164"/>
      <c r="AM810" s="164"/>
      <c r="AN810" s="164"/>
      <c r="AO810" s="164"/>
      <c r="AP810" s="164"/>
      <c r="AQ810" s="164"/>
    </row>
    <row r="811" spans="2:43" x14ac:dyDescent="0.3">
      <c r="B811" s="161"/>
      <c r="C811" s="162"/>
      <c r="D811" s="162"/>
      <c r="E811" s="163"/>
      <c r="F811" s="192"/>
      <c r="G811" s="192"/>
      <c r="H811" s="192"/>
      <c r="I811" s="192"/>
      <c r="J811" s="183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5"/>
      <c r="V811" s="165"/>
      <c r="W811" s="166"/>
      <c r="X811" s="166"/>
      <c r="Y811" s="167"/>
      <c r="Z811" s="196"/>
      <c r="AA811" s="197"/>
      <c r="AB811" s="197"/>
      <c r="AC811" s="197"/>
      <c r="AD811" s="197"/>
      <c r="AE811" s="197"/>
      <c r="AF811" s="197"/>
      <c r="AG811" s="197"/>
      <c r="AH811" s="197"/>
      <c r="AI811" s="197"/>
      <c r="AJ811" s="197"/>
      <c r="AK811" s="198"/>
      <c r="AL811" s="164"/>
      <c r="AM811" s="164"/>
      <c r="AN811" s="164"/>
      <c r="AO811" s="164"/>
      <c r="AP811" s="164"/>
      <c r="AQ811" s="164"/>
    </row>
    <row r="812" spans="2:43" x14ac:dyDescent="0.3">
      <c r="B812" s="161"/>
      <c r="C812" s="162"/>
      <c r="D812" s="162"/>
      <c r="E812" s="163"/>
      <c r="F812" s="192"/>
      <c r="G812" s="192"/>
      <c r="H812" s="192"/>
      <c r="I812" s="192"/>
      <c r="J812" s="186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8"/>
      <c r="V812" s="168"/>
      <c r="W812" s="169"/>
      <c r="X812" s="169"/>
      <c r="Y812" s="170"/>
      <c r="Z812" s="193"/>
      <c r="AA812" s="194"/>
      <c r="AB812" s="194"/>
      <c r="AC812" s="194"/>
      <c r="AD812" s="194"/>
      <c r="AE812" s="194"/>
      <c r="AF812" s="194"/>
      <c r="AG812" s="194"/>
      <c r="AH812" s="194"/>
      <c r="AI812" s="194"/>
      <c r="AJ812" s="194"/>
      <c r="AK812" s="195"/>
      <c r="AL812" s="164"/>
      <c r="AM812" s="164"/>
      <c r="AN812" s="164"/>
      <c r="AO812" s="164"/>
      <c r="AP812" s="164"/>
      <c r="AQ812" s="164"/>
    </row>
    <row r="813" spans="2:43" x14ac:dyDescent="0.3">
      <c r="B813" s="161"/>
      <c r="C813" s="162"/>
      <c r="D813" s="162"/>
      <c r="E813" s="163"/>
      <c r="F813" s="192"/>
      <c r="G813" s="192"/>
      <c r="H813" s="192"/>
      <c r="I813" s="192"/>
      <c r="J813" s="186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8"/>
      <c r="V813" s="168"/>
      <c r="W813" s="169"/>
      <c r="X813" s="169"/>
      <c r="Y813" s="170"/>
      <c r="Z813" s="193"/>
      <c r="AA813" s="194"/>
      <c r="AB813" s="194"/>
      <c r="AC813" s="194"/>
      <c r="AD813" s="194"/>
      <c r="AE813" s="194"/>
      <c r="AF813" s="194"/>
      <c r="AG813" s="194"/>
      <c r="AH813" s="194"/>
      <c r="AI813" s="194"/>
      <c r="AJ813" s="194"/>
      <c r="AK813" s="195"/>
      <c r="AL813" s="164"/>
      <c r="AM813" s="164"/>
      <c r="AN813" s="164"/>
      <c r="AO813" s="164"/>
      <c r="AP813" s="164"/>
      <c r="AQ813" s="164"/>
    </row>
    <row r="814" spans="2:43" x14ac:dyDescent="0.3">
      <c r="B814" s="161"/>
      <c r="C814" s="162"/>
      <c r="D814" s="162"/>
      <c r="E814" s="163"/>
      <c r="F814" s="192"/>
      <c r="G814" s="192"/>
      <c r="H814" s="192"/>
      <c r="I814" s="192"/>
      <c r="J814" s="186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8"/>
      <c r="V814" s="168"/>
      <c r="W814" s="169"/>
      <c r="X814" s="169"/>
      <c r="Y814" s="170"/>
      <c r="Z814" s="193"/>
      <c r="AA814" s="194"/>
      <c r="AB814" s="194"/>
      <c r="AC814" s="194"/>
      <c r="AD814" s="194"/>
      <c r="AE814" s="194"/>
      <c r="AF814" s="194"/>
      <c r="AG814" s="194"/>
      <c r="AH814" s="194"/>
      <c r="AI814" s="194"/>
      <c r="AJ814" s="194"/>
      <c r="AK814" s="195"/>
      <c r="AL814" s="164"/>
      <c r="AM814" s="164"/>
      <c r="AN814" s="164"/>
      <c r="AO814" s="164"/>
      <c r="AP814" s="164"/>
      <c r="AQ814" s="164"/>
    </row>
    <row r="815" spans="2:43" x14ac:dyDescent="0.3">
      <c r="B815" s="161"/>
      <c r="C815" s="162"/>
      <c r="D815" s="162"/>
      <c r="E815" s="163"/>
      <c r="F815" s="192"/>
      <c r="G815" s="192"/>
      <c r="H815" s="192"/>
      <c r="I815" s="192"/>
      <c r="J815" s="186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8"/>
      <c r="V815" s="168"/>
      <c r="W815" s="169"/>
      <c r="X815" s="169"/>
      <c r="Y815" s="170"/>
      <c r="Z815" s="193"/>
      <c r="AA815" s="194"/>
      <c r="AB815" s="194"/>
      <c r="AC815" s="194"/>
      <c r="AD815" s="194"/>
      <c r="AE815" s="194"/>
      <c r="AF815" s="194"/>
      <c r="AG815" s="194"/>
      <c r="AH815" s="194"/>
      <c r="AI815" s="194"/>
      <c r="AJ815" s="194"/>
      <c r="AK815" s="195"/>
      <c r="AL815" s="164"/>
      <c r="AM815" s="164"/>
      <c r="AN815" s="164"/>
      <c r="AO815" s="164"/>
      <c r="AP815" s="164"/>
      <c r="AQ815" s="164"/>
    </row>
    <row r="816" spans="2:43" x14ac:dyDescent="0.3">
      <c r="B816" s="161"/>
      <c r="C816" s="162"/>
      <c r="D816" s="162"/>
      <c r="E816" s="163"/>
      <c r="F816" s="192"/>
      <c r="G816" s="192"/>
      <c r="H816" s="192"/>
      <c r="I816" s="192"/>
      <c r="J816" s="186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8"/>
      <c r="V816" s="168"/>
      <c r="W816" s="169"/>
      <c r="X816" s="169"/>
      <c r="Y816" s="170"/>
      <c r="Z816" s="193"/>
      <c r="AA816" s="194"/>
      <c r="AB816" s="194"/>
      <c r="AC816" s="194"/>
      <c r="AD816" s="194"/>
      <c r="AE816" s="194"/>
      <c r="AF816" s="194"/>
      <c r="AG816" s="194"/>
      <c r="AH816" s="194"/>
      <c r="AI816" s="194"/>
      <c r="AJ816" s="194"/>
      <c r="AK816" s="195"/>
      <c r="AL816" s="164"/>
      <c r="AM816" s="164"/>
      <c r="AN816" s="164"/>
      <c r="AO816" s="164"/>
      <c r="AP816" s="164"/>
      <c r="AQ816" s="164"/>
    </row>
    <row r="817" spans="2:43" x14ac:dyDescent="0.3">
      <c r="B817" s="161"/>
      <c r="C817" s="162"/>
      <c r="D817" s="162"/>
      <c r="E817" s="163"/>
      <c r="F817" s="192"/>
      <c r="G817" s="192"/>
      <c r="H817" s="192"/>
      <c r="I817" s="192"/>
      <c r="J817" s="186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8"/>
      <c r="V817" s="168"/>
      <c r="W817" s="169"/>
      <c r="X817" s="169"/>
      <c r="Y817" s="170"/>
      <c r="Z817" s="193"/>
      <c r="AA817" s="194"/>
      <c r="AB817" s="194"/>
      <c r="AC817" s="194"/>
      <c r="AD817" s="194"/>
      <c r="AE817" s="194"/>
      <c r="AF817" s="194"/>
      <c r="AG817" s="194"/>
      <c r="AH817" s="194"/>
      <c r="AI817" s="194"/>
      <c r="AJ817" s="194"/>
      <c r="AK817" s="195"/>
      <c r="AL817" s="164"/>
      <c r="AM817" s="164"/>
      <c r="AN817" s="164"/>
      <c r="AO817" s="164"/>
      <c r="AP817" s="164"/>
      <c r="AQ817" s="164"/>
    </row>
    <row r="818" spans="2:43" x14ac:dyDescent="0.3">
      <c r="B818" s="161"/>
      <c r="C818" s="162"/>
      <c r="D818" s="162"/>
      <c r="E818" s="163"/>
      <c r="F818" s="192"/>
      <c r="G818" s="192"/>
      <c r="H818" s="192"/>
      <c r="I818" s="192"/>
      <c r="J818" s="189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1"/>
      <c r="V818" s="171"/>
      <c r="W818" s="172"/>
      <c r="X818" s="172"/>
      <c r="Y818" s="173"/>
      <c r="Z818" s="199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  <c r="AK818" s="201"/>
      <c r="AL818" s="164"/>
      <c r="AM818" s="164"/>
      <c r="AN818" s="164"/>
      <c r="AO818" s="164"/>
      <c r="AP818" s="164"/>
      <c r="AQ818" s="164"/>
    </row>
    <row r="819" spans="2:43" x14ac:dyDescent="0.3">
      <c r="B819" s="161"/>
      <c r="C819" s="162"/>
      <c r="D819" s="162"/>
      <c r="E819" s="163"/>
      <c r="F819" s="192"/>
      <c r="G819" s="192"/>
      <c r="H819" s="192"/>
      <c r="I819" s="192"/>
      <c r="J819" s="183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5"/>
      <c r="V819" s="165"/>
      <c r="W819" s="166"/>
      <c r="X819" s="166"/>
      <c r="Y819" s="167"/>
      <c r="Z819" s="196"/>
      <c r="AA819" s="197"/>
      <c r="AB819" s="197"/>
      <c r="AC819" s="197"/>
      <c r="AD819" s="197"/>
      <c r="AE819" s="197"/>
      <c r="AF819" s="197"/>
      <c r="AG819" s="197"/>
      <c r="AH819" s="197"/>
      <c r="AI819" s="197"/>
      <c r="AJ819" s="197"/>
      <c r="AK819" s="198"/>
      <c r="AL819" s="164"/>
      <c r="AM819" s="164"/>
      <c r="AN819" s="164"/>
      <c r="AO819" s="164"/>
      <c r="AP819" s="164"/>
      <c r="AQ819" s="164"/>
    </row>
    <row r="820" spans="2:43" x14ac:dyDescent="0.3">
      <c r="B820" s="161"/>
      <c r="C820" s="162"/>
      <c r="D820" s="162"/>
      <c r="E820" s="163"/>
      <c r="F820" s="192"/>
      <c r="G820" s="192"/>
      <c r="H820" s="192"/>
      <c r="I820" s="192"/>
      <c r="J820" s="186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8"/>
      <c r="V820" s="168"/>
      <c r="W820" s="169"/>
      <c r="X820" s="169"/>
      <c r="Y820" s="170"/>
      <c r="Z820" s="193"/>
      <c r="AA820" s="194"/>
      <c r="AB820" s="194"/>
      <c r="AC820" s="194"/>
      <c r="AD820" s="194"/>
      <c r="AE820" s="194"/>
      <c r="AF820" s="194"/>
      <c r="AG820" s="194"/>
      <c r="AH820" s="194"/>
      <c r="AI820" s="194"/>
      <c r="AJ820" s="194"/>
      <c r="AK820" s="195"/>
      <c r="AL820" s="164"/>
      <c r="AM820" s="164"/>
      <c r="AN820" s="164"/>
      <c r="AO820" s="164"/>
      <c r="AP820" s="164"/>
      <c r="AQ820" s="164"/>
    </row>
    <row r="821" spans="2:43" x14ac:dyDescent="0.3">
      <c r="B821" s="161"/>
      <c r="C821" s="162"/>
      <c r="D821" s="162"/>
      <c r="E821" s="163"/>
      <c r="F821" s="192"/>
      <c r="G821" s="192"/>
      <c r="H821" s="192"/>
      <c r="I821" s="192"/>
      <c r="J821" s="186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8"/>
      <c r="V821" s="168"/>
      <c r="W821" s="169"/>
      <c r="X821" s="169"/>
      <c r="Y821" s="170"/>
      <c r="Z821" s="193"/>
      <c r="AA821" s="194"/>
      <c r="AB821" s="194"/>
      <c r="AC821" s="194"/>
      <c r="AD821" s="194"/>
      <c r="AE821" s="194"/>
      <c r="AF821" s="194"/>
      <c r="AG821" s="194"/>
      <c r="AH821" s="194"/>
      <c r="AI821" s="194"/>
      <c r="AJ821" s="194"/>
      <c r="AK821" s="195"/>
      <c r="AL821" s="164"/>
      <c r="AM821" s="164"/>
      <c r="AN821" s="164"/>
      <c r="AO821" s="164"/>
      <c r="AP821" s="164"/>
      <c r="AQ821" s="164"/>
    </row>
    <row r="822" spans="2:43" x14ac:dyDescent="0.3">
      <c r="B822" s="161"/>
      <c r="C822" s="162"/>
      <c r="D822" s="162"/>
      <c r="E822" s="163"/>
      <c r="F822" s="192"/>
      <c r="G822" s="192"/>
      <c r="H822" s="192"/>
      <c r="I822" s="192"/>
      <c r="J822" s="186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8"/>
      <c r="V822" s="168"/>
      <c r="W822" s="169"/>
      <c r="X822" s="169"/>
      <c r="Y822" s="170"/>
      <c r="Z822" s="193"/>
      <c r="AA822" s="194"/>
      <c r="AB822" s="194"/>
      <c r="AC822" s="194"/>
      <c r="AD822" s="194"/>
      <c r="AE822" s="194"/>
      <c r="AF822" s="194"/>
      <c r="AG822" s="194"/>
      <c r="AH822" s="194"/>
      <c r="AI822" s="194"/>
      <c r="AJ822" s="194"/>
      <c r="AK822" s="195"/>
      <c r="AL822" s="164"/>
      <c r="AM822" s="164"/>
      <c r="AN822" s="164"/>
      <c r="AO822" s="164"/>
      <c r="AP822" s="164"/>
      <c r="AQ822" s="164"/>
    </row>
    <row r="823" spans="2:43" x14ac:dyDescent="0.3">
      <c r="B823" s="161"/>
      <c r="C823" s="162"/>
      <c r="D823" s="162"/>
      <c r="E823" s="163"/>
      <c r="F823" s="192"/>
      <c r="G823" s="192"/>
      <c r="H823" s="192"/>
      <c r="I823" s="192"/>
      <c r="J823" s="186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8"/>
      <c r="V823" s="168"/>
      <c r="W823" s="169"/>
      <c r="X823" s="169"/>
      <c r="Y823" s="170"/>
      <c r="Z823" s="193"/>
      <c r="AA823" s="194"/>
      <c r="AB823" s="194"/>
      <c r="AC823" s="194"/>
      <c r="AD823" s="194"/>
      <c r="AE823" s="194"/>
      <c r="AF823" s="194"/>
      <c r="AG823" s="194"/>
      <c r="AH823" s="194"/>
      <c r="AI823" s="194"/>
      <c r="AJ823" s="194"/>
      <c r="AK823" s="195"/>
      <c r="AL823" s="164"/>
      <c r="AM823" s="164"/>
      <c r="AN823" s="164"/>
      <c r="AO823" s="164"/>
      <c r="AP823" s="164"/>
      <c r="AQ823" s="164"/>
    </row>
    <row r="824" spans="2:43" x14ac:dyDescent="0.3">
      <c r="B824" s="161"/>
      <c r="C824" s="162"/>
      <c r="D824" s="162"/>
      <c r="E824" s="163"/>
      <c r="F824" s="192"/>
      <c r="G824" s="192"/>
      <c r="H824" s="192"/>
      <c r="I824" s="192"/>
      <c r="J824" s="186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8"/>
      <c r="V824" s="168"/>
      <c r="W824" s="169"/>
      <c r="X824" s="169"/>
      <c r="Y824" s="170"/>
      <c r="Z824" s="193"/>
      <c r="AA824" s="194"/>
      <c r="AB824" s="194"/>
      <c r="AC824" s="194"/>
      <c r="AD824" s="194"/>
      <c r="AE824" s="194"/>
      <c r="AF824" s="194"/>
      <c r="AG824" s="194"/>
      <c r="AH824" s="194"/>
      <c r="AI824" s="194"/>
      <c r="AJ824" s="194"/>
      <c r="AK824" s="195"/>
      <c r="AL824" s="164"/>
      <c r="AM824" s="164"/>
      <c r="AN824" s="164"/>
      <c r="AO824" s="164"/>
      <c r="AP824" s="164"/>
      <c r="AQ824" s="164"/>
    </row>
    <row r="825" spans="2:43" x14ac:dyDescent="0.3">
      <c r="B825" s="161"/>
      <c r="C825" s="162"/>
      <c r="D825" s="162"/>
      <c r="E825" s="163"/>
      <c r="F825" s="192"/>
      <c r="G825" s="192"/>
      <c r="H825" s="192"/>
      <c r="I825" s="192"/>
      <c r="J825" s="186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8"/>
      <c r="V825" s="168"/>
      <c r="W825" s="169"/>
      <c r="X825" s="169"/>
      <c r="Y825" s="170"/>
      <c r="Z825" s="193"/>
      <c r="AA825" s="194"/>
      <c r="AB825" s="194"/>
      <c r="AC825" s="194"/>
      <c r="AD825" s="194"/>
      <c r="AE825" s="194"/>
      <c r="AF825" s="194"/>
      <c r="AG825" s="194"/>
      <c r="AH825" s="194"/>
      <c r="AI825" s="194"/>
      <c r="AJ825" s="194"/>
      <c r="AK825" s="195"/>
      <c r="AL825" s="164"/>
      <c r="AM825" s="164"/>
      <c r="AN825" s="164"/>
      <c r="AO825" s="164"/>
      <c r="AP825" s="164"/>
      <c r="AQ825" s="164"/>
    </row>
    <row r="826" spans="2:43" x14ac:dyDescent="0.3">
      <c r="B826" s="161"/>
      <c r="C826" s="162"/>
      <c r="D826" s="162"/>
      <c r="E826" s="163"/>
      <c r="F826" s="192"/>
      <c r="G826" s="192"/>
      <c r="H826" s="192"/>
      <c r="I826" s="192"/>
      <c r="J826" s="189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1"/>
      <c r="V826" s="171"/>
      <c r="W826" s="172"/>
      <c r="X826" s="172"/>
      <c r="Y826" s="173"/>
      <c r="Z826" s="199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  <c r="AK826" s="201"/>
      <c r="AL826" s="164"/>
      <c r="AM826" s="164"/>
      <c r="AN826" s="164"/>
      <c r="AO826" s="164"/>
      <c r="AP826" s="164"/>
      <c r="AQ826" s="164"/>
    </row>
    <row r="827" spans="2:43" x14ac:dyDescent="0.3">
      <c r="B827" s="161"/>
      <c r="C827" s="162"/>
      <c r="D827" s="162"/>
      <c r="E827" s="163"/>
      <c r="F827" s="192"/>
      <c r="G827" s="192"/>
      <c r="H827" s="192"/>
      <c r="I827" s="192"/>
      <c r="J827" s="183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5"/>
      <c r="V827" s="165"/>
      <c r="W827" s="166"/>
      <c r="X827" s="166"/>
      <c r="Y827" s="167"/>
      <c r="Z827" s="196"/>
      <c r="AA827" s="197"/>
      <c r="AB827" s="197"/>
      <c r="AC827" s="197"/>
      <c r="AD827" s="197"/>
      <c r="AE827" s="197"/>
      <c r="AF827" s="197"/>
      <c r="AG827" s="197"/>
      <c r="AH827" s="197"/>
      <c r="AI827" s="197"/>
      <c r="AJ827" s="197"/>
      <c r="AK827" s="198"/>
      <c r="AL827" s="164"/>
      <c r="AM827" s="164"/>
      <c r="AN827" s="164"/>
      <c r="AO827" s="164"/>
      <c r="AP827" s="164"/>
      <c r="AQ827" s="164"/>
    </row>
    <row r="828" spans="2:43" x14ac:dyDescent="0.3">
      <c r="B828" s="161"/>
      <c r="C828" s="162"/>
      <c r="D828" s="162"/>
      <c r="E828" s="163"/>
      <c r="F828" s="192"/>
      <c r="G828" s="192"/>
      <c r="H828" s="192"/>
      <c r="I828" s="192"/>
      <c r="J828" s="186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8"/>
      <c r="V828" s="168"/>
      <c r="W828" s="169"/>
      <c r="X828" s="169"/>
      <c r="Y828" s="170"/>
      <c r="Z828" s="193"/>
      <c r="AA828" s="194"/>
      <c r="AB828" s="194"/>
      <c r="AC828" s="194"/>
      <c r="AD828" s="194"/>
      <c r="AE828" s="194"/>
      <c r="AF828" s="194"/>
      <c r="AG828" s="194"/>
      <c r="AH828" s="194"/>
      <c r="AI828" s="194"/>
      <c r="AJ828" s="194"/>
      <c r="AK828" s="195"/>
      <c r="AL828" s="164"/>
      <c r="AM828" s="164"/>
      <c r="AN828" s="164"/>
      <c r="AO828" s="164"/>
      <c r="AP828" s="164"/>
      <c r="AQ828" s="164"/>
    </row>
    <row r="829" spans="2:43" x14ac:dyDescent="0.3">
      <c r="B829" s="161"/>
      <c r="C829" s="162"/>
      <c r="D829" s="162"/>
      <c r="E829" s="163"/>
      <c r="F829" s="192"/>
      <c r="G829" s="192"/>
      <c r="H829" s="192"/>
      <c r="I829" s="192"/>
      <c r="J829" s="186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8"/>
      <c r="V829" s="168"/>
      <c r="W829" s="169"/>
      <c r="X829" s="169"/>
      <c r="Y829" s="170"/>
      <c r="Z829" s="193"/>
      <c r="AA829" s="194"/>
      <c r="AB829" s="194"/>
      <c r="AC829" s="194"/>
      <c r="AD829" s="194"/>
      <c r="AE829" s="194"/>
      <c r="AF829" s="194"/>
      <c r="AG829" s="194"/>
      <c r="AH829" s="194"/>
      <c r="AI829" s="194"/>
      <c r="AJ829" s="194"/>
      <c r="AK829" s="195"/>
      <c r="AL829" s="164"/>
      <c r="AM829" s="164"/>
      <c r="AN829" s="164"/>
      <c r="AO829" s="164"/>
      <c r="AP829" s="164"/>
      <c r="AQ829" s="164"/>
    </row>
    <row r="830" spans="2:43" x14ac:dyDescent="0.3">
      <c r="B830" s="161"/>
      <c r="C830" s="162"/>
      <c r="D830" s="162"/>
      <c r="E830" s="163"/>
      <c r="F830" s="192"/>
      <c r="G830" s="192"/>
      <c r="H830" s="192"/>
      <c r="I830" s="192"/>
      <c r="J830" s="186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8"/>
      <c r="V830" s="168"/>
      <c r="W830" s="169"/>
      <c r="X830" s="169"/>
      <c r="Y830" s="170"/>
      <c r="Z830" s="193"/>
      <c r="AA830" s="194"/>
      <c r="AB830" s="194"/>
      <c r="AC830" s="194"/>
      <c r="AD830" s="194"/>
      <c r="AE830" s="194"/>
      <c r="AF830" s="194"/>
      <c r="AG830" s="194"/>
      <c r="AH830" s="194"/>
      <c r="AI830" s="194"/>
      <c r="AJ830" s="194"/>
      <c r="AK830" s="195"/>
      <c r="AL830" s="164"/>
      <c r="AM830" s="164"/>
      <c r="AN830" s="164"/>
      <c r="AO830" s="164"/>
      <c r="AP830" s="164"/>
      <c r="AQ830" s="164"/>
    </row>
    <row r="831" spans="2:43" x14ac:dyDescent="0.3">
      <c r="B831" s="161"/>
      <c r="C831" s="162"/>
      <c r="D831" s="162"/>
      <c r="E831" s="163"/>
      <c r="F831" s="192"/>
      <c r="G831" s="192"/>
      <c r="H831" s="192"/>
      <c r="I831" s="192"/>
      <c r="J831" s="186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8"/>
      <c r="V831" s="168"/>
      <c r="W831" s="169"/>
      <c r="X831" s="169"/>
      <c r="Y831" s="170"/>
      <c r="Z831" s="193"/>
      <c r="AA831" s="194"/>
      <c r="AB831" s="194"/>
      <c r="AC831" s="194"/>
      <c r="AD831" s="194"/>
      <c r="AE831" s="194"/>
      <c r="AF831" s="194"/>
      <c r="AG831" s="194"/>
      <c r="AH831" s="194"/>
      <c r="AI831" s="194"/>
      <c r="AJ831" s="194"/>
      <c r="AK831" s="195"/>
      <c r="AL831" s="164"/>
      <c r="AM831" s="164"/>
      <c r="AN831" s="164"/>
      <c r="AO831" s="164"/>
      <c r="AP831" s="164"/>
      <c r="AQ831" s="164"/>
    </row>
    <row r="832" spans="2:43" x14ac:dyDescent="0.3">
      <c r="B832" s="161"/>
      <c r="C832" s="162"/>
      <c r="D832" s="162"/>
      <c r="E832" s="163"/>
      <c r="F832" s="192"/>
      <c r="G832" s="192"/>
      <c r="H832" s="192"/>
      <c r="I832" s="192"/>
      <c r="J832" s="186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8"/>
      <c r="V832" s="168"/>
      <c r="W832" s="169"/>
      <c r="X832" s="169"/>
      <c r="Y832" s="170"/>
      <c r="Z832" s="193"/>
      <c r="AA832" s="194"/>
      <c r="AB832" s="194"/>
      <c r="AC832" s="194"/>
      <c r="AD832" s="194"/>
      <c r="AE832" s="194"/>
      <c r="AF832" s="194"/>
      <c r="AG832" s="194"/>
      <c r="AH832" s="194"/>
      <c r="AI832" s="194"/>
      <c r="AJ832" s="194"/>
      <c r="AK832" s="195"/>
      <c r="AL832" s="164"/>
      <c r="AM832" s="164"/>
      <c r="AN832" s="164"/>
      <c r="AO832" s="164"/>
      <c r="AP832" s="164"/>
      <c r="AQ832" s="164"/>
    </row>
    <row r="833" spans="2:43" x14ac:dyDescent="0.3">
      <c r="B833" s="161"/>
      <c r="C833" s="162"/>
      <c r="D833" s="162"/>
      <c r="E833" s="163"/>
      <c r="F833" s="192"/>
      <c r="G833" s="192"/>
      <c r="H833" s="192"/>
      <c r="I833" s="192"/>
      <c r="J833" s="186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8"/>
      <c r="V833" s="168"/>
      <c r="W833" s="169"/>
      <c r="X833" s="169"/>
      <c r="Y833" s="170"/>
      <c r="Z833" s="193"/>
      <c r="AA833" s="194"/>
      <c r="AB833" s="194"/>
      <c r="AC833" s="194"/>
      <c r="AD833" s="194"/>
      <c r="AE833" s="194"/>
      <c r="AF833" s="194"/>
      <c r="AG833" s="194"/>
      <c r="AH833" s="194"/>
      <c r="AI833" s="194"/>
      <c r="AJ833" s="194"/>
      <c r="AK833" s="195"/>
      <c r="AL833" s="164"/>
      <c r="AM833" s="164"/>
      <c r="AN833" s="164"/>
      <c r="AO833" s="164"/>
      <c r="AP833" s="164"/>
      <c r="AQ833" s="164"/>
    </row>
    <row r="834" spans="2:43" x14ac:dyDescent="0.3">
      <c r="B834" s="161"/>
      <c r="C834" s="162"/>
      <c r="D834" s="162"/>
      <c r="E834" s="163"/>
      <c r="F834" s="192"/>
      <c r="G834" s="192"/>
      <c r="H834" s="192"/>
      <c r="I834" s="192"/>
      <c r="J834" s="189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1"/>
      <c r="V834" s="171"/>
      <c r="W834" s="172"/>
      <c r="X834" s="172"/>
      <c r="Y834" s="173"/>
      <c r="Z834" s="199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1"/>
      <c r="AL834" s="164"/>
      <c r="AM834" s="164"/>
      <c r="AN834" s="164"/>
      <c r="AO834" s="164"/>
      <c r="AP834" s="164"/>
      <c r="AQ834" s="164"/>
    </row>
    <row r="835" spans="2:43" x14ac:dyDescent="0.3">
      <c r="B835" s="161"/>
      <c r="C835" s="162"/>
      <c r="D835" s="162"/>
      <c r="E835" s="163"/>
      <c r="F835" s="192"/>
      <c r="G835" s="192"/>
      <c r="H835" s="192"/>
      <c r="I835" s="192"/>
      <c r="J835" s="183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5"/>
      <c r="V835" s="165"/>
      <c r="W835" s="166"/>
      <c r="X835" s="166"/>
      <c r="Y835" s="167"/>
      <c r="Z835" s="196"/>
      <c r="AA835" s="197"/>
      <c r="AB835" s="197"/>
      <c r="AC835" s="197"/>
      <c r="AD835" s="197"/>
      <c r="AE835" s="197"/>
      <c r="AF835" s="197"/>
      <c r="AG835" s="197"/>
      <c r="AH835" s="197"/>
      <c r="AI835" s="197"/>
      <c r="AJ835" s="197"/>
      <c r="AK835" s="198"/>
      <c r="AL835" s="164"/>
      <c r="AM835" s="164"/>
      <c r="AN835" s="164"/>
      <c r="AO835" s="164"/>
      <c r="AP835" s="164"/>
      <c r="AQ835" s="164"/>
    </row>
    <row r="836" spans="2:43" x14ac:dyDescent="0.3">
      <c r="B836" s="161"/>
      <c r="C836" s="162"/>
      <c r="D836" s="162"/>
      <c r="E836" s="163"/>
      <c r="F836" s="192"/>
      <c r="G836" s="192"/>
      <c r="H836" s="192"/>
      <c r="I836" s="192"/>
      <c r="J836" s="186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8"/>
      <c r="V836" s="168"/>
      <c r="W836" s="169"/>
      <c r="X836" s="169"/>
      <c r="Y836" s="170"/>
      <c r="Z836" s="193"/>
      <c r="AA836" s="194"/>
      <c r="AB836" s="194"/>
      <c r="AC836" s="194"/>
      <c r="AD836" s="194"/>
      <c r="AE836" s="194"/>
      <c r="AF836" s="194"/>
      <c r="AG836" s="194"/>
      <c r="AH836" s="194"/>
      <c r="AI836" s="194"/>
      <c r="AJ836" s="194"/>
      <c r="AK836" s="195"/>
      <c r="AL836" s="164"/>
      <c r="AM836" s="164"/>
      <c r="AN836" s="164"/>
      <c r="AO836" s="164"/>
      <c r="AP836" s="164"/>
      <c r="AQ836" s="164"/>
    </row>
    <row r="837" spans="2:43" x14ac:dyDescent="0.3">
      <c r="B837" s="161"/>
      <c r="C837" s="162"/>
      <c r="D837" s="162"/>
      <c r="E837" s="163"/>
      <c r="F837" s="192"/>
      <c r="G837" s="192"/>
      <c r="H837" s="192"/>
      <c r="I837" s="192"/>
      <c r="J837" s="186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8"/>
      <c r="V837" s="168"/>
      <c r="W837" s="169"/>
      <c r="X837" s="169"/>
      <c r="Y837" s="170"/>
      <c r="Z837" s="193"/>
      <c r="AA837" s="194"/>
      <c r="AB837" s="194"/>
      <c r="AC837" s="194"/>
      <c r="AD837" s="194"/>
      <c r="AE837" s="194"/>
      <c r="AF837" s="194"/>
      <c r="AG837" s="194"/>
      <c r="AH837" s="194"/>
      <c r="AI837" s="194"/>
      <c r="AJ837" s="194"/>
      <c r="AK837" s="195"/>
      <c r="AL837" s="164"/>
      <c r="AM837" s="164"/>
      <c r="AN837" s="164"/>
      <c r="AO837" s="164"/>
      <c r="AP837" s="164"/>
      <c r="AQ837" s="164"/>
    </row>
    <row r="838" spans="2:43" x14ac:dyDescent="0.3">
      <c r="B838" s="161"/>
      <c r="C838" s="162"/>
      <c r="D838" s="162"/>
      <c r="E838" s="163"/>
      <c r="F838" s="192"/>
      <c r="G838" s="192"/>
      <c r="H838" s="192"/>
      <c r="I838" s="192"/>
      <c r="J838" s="186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8"/>
      <c r="V838" s="168"/>
      <c r="W838" s="169"/>
      <c r="X838" s="169"/>
      <c r="Y838" s="170"/>
      <c r="Z838" s="193"/>
      <c r="AA838" s="194"/>
      <c r="AB838" s="194"/>
      <c r="AC838" s="194"/>
      <c r="AD838" s="194"/>
      <c r="AE838" s="194"/>
      <c r="AF838" s="194"/>
      <c r="AG838" s="194"/>
      <c r="AH838" s="194"/>
      <c r="AI838" s="194"/>
      <c r="AJ838" s="194"/>
      <c r="AK838" s="195"/>
      <c r="AL838" s="164"/>
      <c r="AM838" s="164"/>
      <c r="AN838" s="164"/>
      <c r="AO838" s="164"/>
      <c r="AP838" s="164"/>
      <c r="AQ838" s="164"/>
    </row>
    <row r="839" spans="2:43" x14ac:dyDescent="0.3">
      <c r="B839" s="161"/>
      <c r="C839" s="162"/>
      <c r="D839" s="162"/>
      <c r="E839" s="163"/>
      <c r="F839" s="192"/>
      <c r="G839" s="192"/>
      <c r="H839" s="192"/>
      <c r="I839" s="192"/>
      <c r="J839" s="186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8"/>
      <c r="V839" s="168"/>
      <c r="W839" s="169"/>
      <c r="X839" s="169"/>
      <c r="Y839" s="170"/>
      <c r="Z839" s="193"/>
      <c r="AA839" s="194"/>
      <c r="AB839" s="194"/>
      <c r="AC839" s="194"/>
      <c r="AD839" s="194"/>
      <c r="AE839" s="194"/>
      <c r="AF839" s="194"/>
      <c r="AG839" s="194"/>
      <c r="AH839" s="194"/>
      <c r="AI839" s="194"/>
      <c r="AJ839" s="194"/>
      <c r="AK839" s="195"/>
      <c r="AL839" s="164"/>
      <c r="AM839" s="164"/>
      <c r="AN839" s="164"/>
      <c r="AO839" s="164"/>
      <c r="AP839" s="164"/>
      <c r="AQ839" s="164"/>
    </row>
    <row r="840" spans="2:43" x14ac:dyDescent="0.3">
      <c r="B840" s="161"/>
      <c r="C840" s="162"/>
      <c r="D840" s="162"/>
      <c r="E840" s="163"/>
      <c r="F840" s="192"/>
      <c r="G840" s="192"/>
      <c r="H840" s="192"/>
      <c r="I840" s="192"/>
      <c r="J840" s="186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8"/>
      <c r="V840" s="168"/>
      <c r="W840" s="169"/>
      <c r="X840" s="169"/>
      <c r="Y840" s="170"/>
      <c r="Z840" s="193"/>
      <c r="AA840" s="194"/>
      <c r="AB840" s="194"/>
      <c r="AC840" s="194"/>
      <c r="AD840" s="194"/>
      <c r="AE840" s="194"/>
      <c r="AF840" s="194"/>
      <c r="AG840" s="194"/>
      <c r="AH840" s="194"/>
      <c r="AI840" s="194"/>
      <c r="AJ840" s="194"/>
      <c r="AK840" s="195"/>
      <c r="AL840" s="164"/>
      <c r="AM840" s="164"/>
      <c r="AN840" s="164"/>
      <c r="AO840" s="164"/>
      <c r="AP840" s="164"/>
      <c r="AQ840" s="164"/>
    </row>
    <row r="841" spans="2:43" x14ac:dyDescent="0.3">
      <c r="B841" s="161"/>
      <c r="C841" s="162"/>
      <c r="D841" s="162"/>
      <c r="E841" s="163"/>
      <c r="F841" s="192"/>
      <c r="G841" s="192"/>
      <c r="H841" s="192"/>
      <c r="I841" s="192"/>
      <c r="J841" s="186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8"/>
      <c r="V841" s="168"/>
      <c r="W841" s="169"/>
      <c r="X841" s="169"/>
      <c r="Y841" s="170"/>
      <c r="Z841" s="193"/>
      <c r="AA841" s="194"/>
      <c r="AB841" s="194"/>
      <c r="AC841" s="194"/>
      <c r="AD841" s="194"/>
      <c r="AE841" s="194"/>
      <c r="AF841" s="194"/>
      <c r="AG841" s="194"/>
      <c r="AH841" s="194"/>
      <c r="AI841" s="194"/>
      <c r="AJ841" s="194"/>
      <c r="AK841" s="195"/>
      <c r="AL841" s="164"/>
      <c r="AM841" s="164"/>
      <c r="AN841" s="164"/>
      <c r="AO841" s="164"/>
      <c r="AP841" s="164"/>
      <c r="AQ841" s="164"/>
    </row>
    <row r="842" spans="2:43" x14ac:dyDescent="0.3">
      <c r="B842" s="161"/>
      <c r="C842" s="162"/>
      <c r="D842" s="162"/>
      <c r="E842" s="163"/>
      <c r="F842" s="192"/>
      <c r="G842" s="192"/>
      <c r="H842" s="192"/>
      <c r="I842" s="192"/>
      <c r="J842" s="189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1"/>
      <c r="V842" s="171"/>
      <c r="W842" s="172"/>
      <c r="X842" s="172"/>
      <c r="Y842" s="173"/>
      <c r="Z842" s="199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  <c r="AK842" s="201"/>
      <c r="AL842" s="164"/>
      <c r="AM842" s="164"/>
      <c r="AN842" s="164"/>
      <c r="AO842" s="164"/>
      <c r="AP842" s="164"/>
      <c r="AQ842" s="164"/>
    </row>
    <row r="843" spans="2:43" x14ac:dyDescent="0.3">
      <c r="B843" s="161"/>
      <c r="C843" s="162"/>
      <c r="D843" s="162"/>
      <c r="E843" s="163"/>
      <c r="F843" s="192"/>
      <c r="G843" s="192"/>
      <c r="H843" s="192"/>
      <c r="I843" s="192"/>
      <c r="J843" s="183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5"/>
      <c r="V843" s="165"/>
      <c r="W843" s="166"/>
      <c r="X843" s="166"/>
      <c r="Y843" s="167"/>
      <c r="Z843" s="196"/>
      <c r="AA843" s="197"/>
      <c r="AB843" s="197"/>
      <c r="AC843" s="197"/>
      <c r="AD843" s="197"/>
      <c r="AE843" s="197"/>
      <c r="AF843" s="197"/>
      <c r="AG843" s="197"/>
      <c r="AH843" s="197"/>
      <c r="AI843" s="197"/>
      <c r="AJ843" s="197"/>
      <c r="AK843" s="198"/>
      <c r="AL843" s="164"/>
      <c r="AM843" s="164"/>
      <c r="AN843" s="164"/>
      <c r="AO843" s="164"/>
      <c r="AP843" s="164"/>
      <c r="AQ843" s="164"/>
    </row>
    <row r="844" spans="2:43" x14ac:dyDescent="0.3">
      <c r="B844" s="161"/>
      <c r="C844" s="162"/>
      <c r="D844" s="162"/>
      <c r="E844" s="163"/>
      <c r="F844" s="192"/>
      <c r="G844" s="192"/>
      <c r="H844" s="192"/>
      <c r="I844" s="192"/>
      <c r="J844" s="186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8"/>
      <c r="V844" s="168"/>
      <c r="W844" s="169"/>
      <c r="X844" s="169"/>
      <c r="Y844" s="170"/>
      <c r="Z844" s="193"/>
      <c r="AA844" s="194"/>
      <c r="AB844" s="194"/>
      <c r="AC844" s="194"/>
      <c r="AD844" s="194"/>
      <c r="AE844" s="194"/>
      <c r="AF844" s="194"/>
      <c r="AG844" s="194"/>
      <c r="AH844" s="194"/>
      <c r="AI844" s="194"/>
      <c r="AJ844" s="194"/>
      <c r="AK844" s="195"/>
      <c r="AL844" s="164"/>
      <c r="AM844" s="164"/>
      <c r="AN844" s="164"/>
      <c r="AO844" s="164"/>
      <c r="AP844" s="164"/>
      <c r="AQ844" s="164"/>
    </row>
    <row r="845" spans="2:43" x14ac:dyDescent="0.3">
      <c r="B845" s="161"/>
      <c r="C845" s="162"/>
      <c r="D845" s="162"/>
      <c r="E845" s="163"/>
      <c r="F845" s="192"/>
      <c r="G845" s="192"/>
      <c r="H845" s="192"/>
      <c r="I845" s="192"/>
      <c r="J845" s="186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8"/>
      <c r="V845" s="168"/>
      <c r="W845" s="169"/>
      <c r="X845" s="169"/>
      <c r="Y845" s="170"/>
      <c r="Z845" s="193"/>
      <c r="AA845" s="194"/>
      <c r="AB845" s="194"/>
      <c r="AC845" s="194"/>
      <c r="AD845" s="194"/>
      <c r="AE845" s="194"/>
      <c r="AF845" s="194"/>
      <c r="AG845" s="194"/>
      <c r="AH845" s="194"/>
      <c r="AI845" s="194"/>
      <c r="AJ845" s="194"/>
      <c r="AK845" s="195"/>
      <c r="AL845" s="164"/>
      <c r="AM845" s="164"/>
      <c r="AN845" s="164"/>
      <c r="AO845" s="164"/>
      <c r="AP845" s="164"/>
      <c r="AQ845" s="164"/>
    </row>
    <row r="846" spans="2:43" x14ac:dyDescent="0.3">
      <c r="B846" s="161"/>
      <c r="C846" s="162"/>
      <c r="D846" s="162"/>
      <c r="E846" s="163"/>
      <c r="F846" s="192"/>
      <c r="G846" s="192"/>
      <c r="H846" s="192"/>
      <c r="I846" s="192"/>
      <c r="J846" s="186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8"/>
      <c r="V846" s="168"/>
      <c r="W846" s="169"/>
      <c r="X846" s="169"/>
      <c r="Y846" s="170"/>
      <c r="Z846" s="193"/>
      <c r="AA846" s="194"/>
      <c r="AB846" s="194"/>
      <c r="AC846" s="194"/>
      <c r="AD846" s="194"/>
      <c r="AE846" s="194"/>
      <c r="AF846" s="194"/>
      <c r="AG846" s="194"/>
      <c r="AH846" s="194"/>
      <c r="AI846" s="194"/>
      <c r="AJ846" s="194"/>
      <c r="AK846" s="195"/>
      <c r="AL846" s="164"/>
      <c r="AM846" s="164"/>
      <c r="AN846" s="164"/>
      <c r="AO846" s="164"/>
      <c r="AP846" s="164"/>
      <c r="AQ846" s="164"/>
    </row>
    <row r="847" spans="2:43" x14ac:dyDescent="0.3">
      <c r="B847" s="161"/>
      <c r="C847" s="162"/>
      <c r="D847" s="162"/>
      <c r="E847" s="163"/>
      <c r="F847" s="192"/>
      <c r="G847" s="192"/>
      <c r="H847" s="192"/>
      <c r="I847" s="192"/>
      <c r="J847" s="186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8"/>
      <c r="V847" s="168"/>
      <c r="W847" s="169"/>
      <c r="X847" s="169"/>
      <c r="Y847" s="170"/>
      <c r="Z847" s="193"/>
      <c r="AA847" s="194"/>
      <c r="AB847" s="194"/>
      <c r="AC847" s="194"/>
      <c r="AD847" s="194"/>
      <c r="AE847" s="194"/>
      <c r="AF847" s="194"/>
      <c r="AG847" s="194"/>
      <c r="AH847" s="194"/>
      <c r="AI847" s="194"/>
      <c r="AJ847" s="194"/>
      <c r="AK847" s="195"/>
      <c r="AL847" s="164"/>
      <c r="AM847" s="164"/>
      <c r="AN847" s="164"/>
      <c r="AO847" s="164"/>
      <c r="AP847" s="164"/>
      <c r="AQ847" s="164"/>
    </row>
    <row r="848" spans="2:43" x14ac:dyDescent="0.3">
      <c r="B848" s="161"/>
      <c r="C848" s="162"/>
      <c r="D848" s="162"/>
      <c r="E848" s="163"/>
      <c r="F848" s="192"/>
      <c r="G848" s="192"/>
      <c r="H848" s="192"/>
      <c r="I848" s="192"/>
      <c r="J848" s="186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8"/>
      <c r="V848" s="168"/>
      <c r="W848" s="169"/>
      <c r="X848" s="169"/>
      <c r="Y848" s="170"/>
      <c r="Z848" s="193"/>
      <c r="AA848" s="194"/>
      <c r="AB848" s="194"/>
      <c r="AC848" s="194"/>
      <c r="AD848" s="194"/>
      <c r="AE848" s="194"/>
      <c r="AF848" s="194"/>
      <c r="AG848" s="194"/>
      <c r="AH848" s="194"/>
      <c r="AI848" s="194"/>
      <c r="AJ848" s="194"/>
      <c r="AK848" s="195"/>
      <c r="AL848" s="164"/>
      <c r="AM848" s="164"/>
      <c r="AN848" s="164"/>
      <c r="AO848" s="164"/>
      <c r="AP848" s="164"/>
      <c r="AQ848" s="164"/>
    </row>
    <row r="849" spans="2:43" x14ac:dyDescent="0.3">
      <c r="B849" s="161"/>
      <c r="C849" s="162"/>
      <c r="D849" s="162"/>
      <c r="E849" s="163"/>
      <c r="F849" s="192"/>
      <c r="G849" s="192"/>
      <c r="H849" s="192"/>
      <c r="I849" s="192"/>
      <c r="J849" s="186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8"/>
      <c r="V849" s="168"/>
      <c r="W849" s="169"/>
      <c r="X849" s="169"/>
      <c r="Y849" s="170"/>
      <c r="Z849" s="193"/>
      <c r="AA849" s="194"/>
      <c r="AB849" s="194"/>
      <c r="AC849" s="194"/>
      <c r="AD849" s="194"/>
      <c r="AE849" s="194"/>
      <c r="AF849" s="194"/>
      <c r="AG849" s="194"/>
      <c r="AH849" s="194"/>
      <c r="AI849" s="194"/>
      <c r="AJ849" s="194"/>
      <c r="AK849" s="195"/>
      <c r="AL849" s="164"/>
      <c r="AM849" s="164"/>
      <c r="AN849" s="164"/>
      <c r="AO849" s="164"/>
      <c r="AP849" s="164"/>
      <c r="AQ849" s="164"/>
    </row>
    <row r="850" spans="2:43" x14ac:dyDescent="0.3">
      <c r="B850" s="161"/>
      <c r="C850" s="162"/>
      <c r="D850" s="162"/>
      <c r="E850" s="163"/>
      <c r="F850" s="192"/>
      <c r="G850" s="192"/>
      <c r="H850" s="192"/>
      <c r="I850" s="192"/>
      <c r="J850" s="189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1"/>
      <c r="V850" s="171"/>
      <c r="W850" s="172"/>
      <c r="X850" s="172"/>
      <c r="Y850" s="173"/>
      <c r="Z850" s="199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  <c r="AK850" s="201"/>
      <c r="AL850" s="164"/>
      <c r="AM850" s="164"/>
      <c r="AN850" s="164"/>
      <c r="AO850" s="164"/>
      <c r="AP850" s="164"/>
      <c r="AQ850" s="164"/>
    </row>
    <row r="851" spans="2:43" x14ac:dyDescent="0.3">
      <c r="B851" s="161"/>
      <c r="C851" s="162"/>
      <c r="D851" s="162"/>
      <c r="E851" s="163"/>
      <c r="F851" s="192"/>
      <c r="G851" s="192"/>
      <c r="H851" s="192"/>
      <c r="I851" s="192"/>
      <c r="J851" s="183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5"/>
      <c r="V851" s="165"/>
      <c r="W851" s="166"/>
      <c r="X851" s="166"/>
      <c r="Y851" s="167"/>
      <c r="Z851" s="196"/>
      <c r="AA851" s="197"/>
      <c r="AB851" s="197"/>
      <c r="AC851" s="197"/>
      <c r="AD851" s="197"/>
      <c r="AE851" s="197"/>
      <c r="AF851" s="197"/>
      <c r="AG851" s="197"/>
      <c r="AH851" s="197"/>
      <c r="AI851" s="197"/>
      <c r="AJ851" s="197"/>
      <c r="AK851" s="198"/>
      <c r="AL851" s="164"/>
      <c r="AM851" s="164"/>
      <c r="AN851" s="164"/>
      <c r="AO851" s="164"/>
      <c r="AP851" s="164"/>
      <c r="AQ851" s="164"/>
    </row>
    <row r="852" spans="2:43" x14ac:dyDescent="0.3">
      <c r="B852" s="161"/>
      <c r="C852" s="162"/>
      <c r="D852" s="162"/>
      <c r="E852" s="163"/>
      <c r="F852" s="192"/>
      <c r="G852" s="192"/>
      <c r="H852" s="192"/>
      <c r="I852" s="192"/>
      <c r="J852" s="186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8"/>
      <c r="V852" s="168"/>
      <c r="W852" s="169"/>
      <c r="X852" s="169"/>
      <c r="Y852" s="170"/>
      <c r="Z852" s="193"/>
      <c r="AA852" s="194"/>
      <c r="AB852" s="194"/>
      <c r="AC852" s="194"/>
      <c r="AD852" s="194"/>
      <c r="AE852" s="194"/>
      <c r="AF852" s="194"/>
      <c r="AG852" s="194"/>
      <c r="AH852" s="194"/>
      <c r="AI852" s="194"/>
      <c r="AJ852" s="194"/>
      <c r="AK852" s="195"/>
      <c r="AL852" s="164"/>
      <c r="AM852" s="164"/>
      <c r="AN852" s="164"/>
      <c r="AO852" s="164"/>
      <c r="AP852" s="164"/>
      <c r="AQ852" s="164"/>
    </row>
    <row r="853" spans="2:43" x14ac:dyDescent="0.3">
      <c r="B853" s="161"/>
      <c r="C853" s="162"/>
      <c r="D853" s="162"/>
      <c r="E853" s="163"/>
      <c r="F853" s="192"/>
      <c r="G853" s="192"/>
      <c r="H853" s="192"/>
      <c r="I853" s="192"/>
      <c r="J853" s="186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8"/>
      <c r="V853" s="168"/>
      <c r="W853" s="169"/>
      <c r="X853" s="169"/>
      <c r="Y853" s="170"/>
      <c r="Z853" s="193"/>
      <c r="AA853" s="194"/>
      <c r="AB853" s="194"/>
      <c r="AC853" s="194"/>
      <c r="AD853" s="194"/>
      <c r="AE853" s="194"/>
      <c r="AF853" s="194"/>
      <c r="AG853" s="194"/>
      <c r="AH853" s="194"/>
      <c r="AI853" s="194"/>
      <c r="AJ853" s="194"/>
      <c r="AK853" s="195"/>
      <c r="AL853" s="164"/>
      <c r="AM853" s="164"/>
      <c r="AN853" s="164"/>
      <c r="AO853" s="164"/>
      <c r="AP853" s="164"/>
      <c r="AQ853" s="164"/>
    </row>
    <row r="854" spans="2:43" x14ac:dyDescent="0.3">
      <c r="B854" s="161"/>
      <c r="C854" s="162"/>
      <c r="D854" s="162"/>
      <c r="E854" s="163"/>
      <c r="F854" s="192"/>
      <c r="G854" s="192"/>
      <c r="H854" s="192"/>
      <c r="I854" s="192"/>
      <c r="J854" s="186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8"/>
      <c r="V854" s="168"/>
      <c r="W854" s="169"/>
      <c r="X854" s="169"/>
      <c r="Y854" s="170"/>
      <c r="Z854" s="193"/>
      <c r="AA854" s="194"/>
      <c r="AB854" s="194"/>
      <c r="AC854" s="194"/>
      <c r="AD854" s="194"/>
      <c r="AE854" s="194"/>
      <c r="AF854" s="194"/>
      <c r="AG854" s="194"/>
      <c r="AH854" s="194"/>
      <c r="AI854" s="194"/>
      <c r="AJ854" s="194"/>
      <c r="AK854" s="195"/>
      <c r="AL854" s="164"/>
      <c r="AM854" s="164"/>
      <c r="AN854" s="164"/>
      <c r="AO854" s="164"/>
      <c r="AP854" s="164"/>
      <c r="AQ854" s="164"/>
    </row>
    <row r="855" spans="2:43" x14ac:dyDescent="0.3">
      <c r="B855" s="161"/>
      <c r="C855" s="162"/>
      <c r="D855" s="162"/>
      <c r="E855" s="163"/>
      <c r="F855" s="192"/>
      <c r="G855" s="192"/>
      <c r="H855" s="192"/>
      <c r="I855" s="192"/>
      <c r="J855" s="186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8"/>
      <c r="V855" s="168"/>
      <c r="W855" s="169"/>
      <c r="X855" s="169"/>
      <c r="Y855" s="170"/>
      <c r="Z855" s="193"/>
      <c r="AA855" s="194"/>
      <c r="AB855" s="194"/>
      <c r="AC855" s="194"/>
      <c r="AD855" s="194"/>
      <c r="AE855" s="194"/>
      <c r="AF855" s="194"/>
      <c r="AG855" s="194"/>
      <c r="AH855" s="194"/>
      <c r="AI855" s="194"/>
      <c r="AJ855" s="194"/>
      <c r="AK855" s="195"/>
      <c r="AL855" s="164"/>
      <c r="AM855" s="164"/>
      <c r="AN855" s="164"/>
      <c r="AO855" s="164"/>
      <c r="AP855" s="164"/>
      <c r="AQ855" s="164"/>
    </row>
    <row r="856" spans="2:43" x14ac:dyDescent="0.3">
      <c r="B856" s="161"/>
      <c r="C856" s="162"/>
      <c r="D856" s="162"/>
      <c r="E856" s="163"/>
      <c r="F856" s="192"/>
      <c r="G856" s="192"/>
      <c r="H856" s="192"/>
      <c r="I856" s="192"/>
      <c r="J856" s="186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8"/>
      <c r="V856" s="168"/>
      <c r="W856" s="169"/>
      <c r="X856" s="169"/>
      <c r="Y856" s="170"/>
      <c r="Z856" s="193"/>
      <c r="AA856" s="194"/>
      <c r="AB856" s="194"/>
      <c r="AC856" s="194"/>
      <c r="AD856" s="194"/>
      <c r="AE856" s="194"/>
      <c r="AF856" s="194"/>
      <c r="AG856" s="194"/>
      <c r="AH856" s="194"/>
      <c r="AI856" s="194"/>
      <c r="AJ856" s="194"/>
      <c r="AK856" s="195"/>
      <c r="AL856" s="164"/>
      <c r="AM856" s="164"/>
      <c r="AN856" s="164"/>
      <c r="AO856" s="164"/>
      <c r="AP856" s="164"/>
      <c r="AQ856" s="164"/>
    </row>
    <row r="857" spans="2:43" x14ac:dyDescent="0.3">
      <c r="B857" s="161"/>
      <c r="C857" s="162"/>
      <c r="D857" s="162"/>
      <c r="E857" s="163"/>
      <c r="F857" s="192"/>
      <c r="G857" s="192"/>
      <c r="H857" s="192"/>
      <c r="I857" s="192"/>
      <c r="J857" s="186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8"/>
      <c r="V857" s="168"/>
      <c r="W857" s="169"/>
      <c r="X857" s="169"/>
      <c r="Y857" s="170"/>
      <c r="Z857" s="193"/>
      <c r="AA857" s="194"/>
      <c r="AB857" s="194"/>
      <c r="AC857" s="194"/>
      <c r="AD857" s="194"/>
      <c r="AE857" s="194"/>
      <c r="AF857" s="194"/>
      <c r="AG857" s="194"/>
      <c r="AH857" s="194"/>
      <c r="AI857" s="194"/>
      <c r="AJ857" s="194"/>
      <c r="AK857" s="195"/>
      <c r="AL857" s="164"/>
      <c r="AM857" s="164"/>
      <c r="AN857" s="164"/>
      <c r="AO857" s="164"/>
      <c r="AP857" s="164"/>
      <c r="AQ857" s="164"/>
    </row>
    <row r="858" spans="2:43" x14ac:dyDescent="0.3">
      <c r="B858" s="161"/>
      <c r="C858" s="162"/>
      <c r="D858" s="162"/>
      <c r="E858" s="163"/>
      <c r="F858" s="192"/>
      <c r="G858" s="192"/>
      <c r="H858" s="192"/>
      <c r="I858" s="192"/>
      <c r="J858" s="189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1"/>
      <c r="V858" s="171"/>
      <c r="W858" s="172"/>
      <c r="X858" s="172"/>
      <c r="Y858" s="173"/>
      <c r="Z858" s="199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  <c r="AK858" s="201"/>
      <c r="AL858" s="164"/>
      <c r="AM858" s="164"/>
      <c r="AN858" s="164"/>
      <c r="AO858" s="164"/>
      <c r="AP858" s="164"/>
      <c r="AQ858" s="164"/>
    </row>
    <row r="859" spans="2:43" x14ac:dyDescent="0.3">
      <c r="B859" s="161"/>
      <c r="C859" s="162"/>
      <c r="D859" s="162"/>
      <c r="E859" s="163"/>
      <c r="F859" s="192"/>
      <c r="G859" s="192"/>
      <c r="H859" s="192"/>
      <c r="I859" s="192"/>
      <c r="J859" s="183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5"/>
      <c r="V859" s="165"/>
      <c r="W859" s="166"/>
      <c r="X859" s="166"/>
      <c r="Y859" s="167"/>
      <c r="Z859" s="196"/>
      <c r="AA859" s="197"/>
      <c r="AB859" s="197"/>
      <c r="AC859" s="197"/>
      <c r="AD859" s="197"/>
      <c r="AE859" s="197"/>
      <c r="AF859" s="197"/>
      <c r="AG859" s="197"/>
      <c r="AH859" s="197"/>
      <c r="AI859" s="197"/>
      <c r="AJ859" s="197"/>
      <c r="AK859" s="198"/>
      <c r="AL859" s="164"/>
      <c r="AM859" s="164"/>
      <c r="AN859" s="164"/>
      <c r="AO859" s="164"/>
      <c r="AP859" s="164"/>
      <c r="AQ859" s="164"/>
    </row>
    <row r="860" spans="2:43" x14ac:dyDescent="0.3">
      <c r="B860" s="161"/>
      <c r="C860" s="162"/>
      <c r="D860" s="162"/>
      <c r="E860" s="163"/>
      <c r="F860" s="164"/>
      <c r="G860" s="164"/>
      <c r="H860" s="164"/>
      <c r="I860" s="164"/>
      <c r="J860" s="186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8"/>
      <c r="V860" s="168"/>
      <c r="W860" s="169"/>
      <c r="X860" s="169"/>
      <c r="Y860" s="170"/>
      <c r="Z860" s="193"/>
      <c r="AA860" s="194"/>
      <c r="AB860" s="194"/>
      <c r="AC860" s="194"/>
      <c r="AD860" s="194"/>
      <c r="AE860" s="194"/>
      <c r="AF860" s="194"/>
      <c r="AG860" s="194"/>
      <c r="AH860" s="194"/>
      <c r="AI860" s="194"/>
      <c r="AJ860" s="194"/>
      <c r="AK860" s="195"/>
      <c r="AL860" s="164"/>
      <c r="AM860" s="164"/>
      <c r="AN860" s="164"/>
      <c r="AO860" s="164"/>
      <c r="AP860" s="164"/>
      <c r="AQ860" s="164"/>
    </row>
    <row r="861" spans="2:43" x14ac:dyDescent="0.3">
      <c r="B861" s="161"/>
      <c r="C861" s="162"/>
      <c r="D861" s="162"/>
      <c r="E861" s="163"/>
      <c r="F861" s="164"/>
      <c r="G861" s="164"/>
      <c r="H861" s="164"/>
      <c r="I861" s="164"/>
      <c r="J861" s="186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8"/>
      <c r="V861" s="168"/>
      <c r="W861" s="169"/>
      <c r="X861" s="169"/>
      <c r="Y861" s="170"/>
      <c r="Z861" s="193"/>
      <c r="AA861" s="194"/>
      <c r="AB861" s="194"/>
      <c r="AC861" s="194"/>
      <c r="AD861" s="194"/>
      <c r="AE861" s="194"/>
      <c r="AF861" s="194"/>
      <c r="AG861" s="194"/>
      <c r="AH861" s="194"/>
      <c r="AI861" s="194"/>
      <c r="AJ861" s="194"/>
      <c r="AK861" s="195"/>
      <c r="AL861" s="164"/>
      <c r="AM861" s="164"/>
      <c r="AN861" s="164"/>
      <c r="AO861" s="164"/>
      <c r="AP861" s="164"/>
      <c r="AQ861" s="164"/>
    </row>
    <row r="862" spans="2:43" x14ac:dyDescent="0.3">
      <c r="B862" s="161"/>
      <c r="C862" s="162"/>
      <c r="D862" s="162"/>
      <c r="E862" s="163"/>
      <c r="F862" s="164"/>
      <c r="G862" s="164"/>
      <c r="H862" s="164"/>
      <c r="I862" s="164"/>
      <c r="J862" s="186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8"/>
      <c r="V862" s="168"/>
      <c r="W862" s="169"/>
      <c r="X862" s="169"/>
      <c r="Y862" s="170"/>
      <c r="Z862" s="193"/>
      <c r="AA862" s="194"/>
      <c r="AB862" s="194"/>
      <c r="AC862" s="194"/>
      <c r="AD862" s="194"/>
      <c r="AE862" s="194"/>
      <c r="AF862" s="194"/>
      <c r="AG862" s="194"/>
      <c r="AH862" s="194"/>
      <c r="AI862" s="194"/>
      <c r="AJ862" s="194"/>
      <c r="AK862" s="195"/>
      <c r="AL862" s="164"/>
      <c r="AM862" s="164"/>
      <c r="AN862" s="164"/>
      <c r="AO862" s="164"/>
      <c r="AP862" s="164"/>
      <c r="AQ862" s="164"/>
    </row>
    <row r="863" spans="2:43" x14ac:dyDescent="0.3">
      <c r="B863" s="161"/>
      <c r="C863" s="162"/>
      <c r="D863" s="162"/>
      <c r="E863" s="163"/>
      <c r="F863" s="164"/>
      <c r="G863" s="164"/>
      <c r="H863" s="164"/>
      <c r="I863" s="164"/>
      <c r="J863" s="186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8"/>
      <c r="V863" s="168"/>
      <c r="W863" s="169"/>
      <c r="X863" s="169"/>
      <c r="Y863" s="170"/>
      <c r="Z863" s="193"/>
      <c r="AA863" s="194"/>
      <c r="AB863" s="194"/>
      <c r="AC863" s="194"/>
      <c r="AD863" s="194"/>
      <c r="AE863" s="194"/>
      <c r="AF863" s="194"/>
      <c r="AG863" s="194"/>
      <c r="AH863" s="194"/>
      <c r="AI863" s="194"/>
      <c r="AJ863" s="194"/>
      <c r="AK863" s="195"/>
      <c r="AL863" s="164"/>
      <c r="AM863" s="164"/>
      <c r="AN863" s="164"/>
      <c r="AO863" s="164"/>
      <c r="AP863" s="164"/>
      <c r="AQ863" s="164"/>
    </row>
    <row r="864" spans="2:43" x14ac:dyDescent="0.3">
      <c r="B864" s="161"/>
      <c r="C864" s="162"/>
      <c r="D864" s="162"/>
      <c r="E864" s="163"/>
      <c r="F864" s="164"/>
      <c r="G864" s="164"/>
      <c r="H864" s="164"/>
      <c r="I864" s="164"/>
      <c r="J864" s="186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8"/>
      <c r="V864" s="168"/>
      <c r="W864" s="169"/>
      <c r="X864" s="169"/>
      <c r="Y864" s="170"/>
      <c r="Z864" s="193"/>
      <c r="AA864" s="194"/>
      <c r="AB864" s="194"/>
      <c r="AC864" s="194"/>
      <c r="AD864" s="194"/>
      <c r="AE864" s="194"/>
      <c r="AF864" s="194"/>
      <c r="AG864" s="194"/>
      <c r="AH864" s="194"/>
      <c r="AI864" s="194"/>
      <c r="AJ864" s="194"/>
      <c r="AK864" s="195"/>
      <c r="AL864" s="164"/>
      <c r="AM864" s="164"/>
      <c r="AN864" s="164"/>
      <c r="AO864" s="164"/>
      <c r="AP864" s="164"/>
      <c r="AQ864" s="164"/>
    </row>
    <row r="865" spans="2:43" x14ac:dyDescent="0.3">
      <c r="B865" s="161"/>
      <c r="C865" s="162"/>
      <c r="D865" s="162"/>
      <c r="E865" s="163"/>
      <c r="F865" s="164"/>
      <c r="G865" s="164"/>
      <c r="H865" s="164"/>
      <c r="I865" s="164"/>
      <c r="J865" s="186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8"/>
      <c r="V865" s="168"/>
      <c r="W865" s="169"/>
      <c r="X865" s="169"/>
      <c r="Y865" s="170"/>
      <c r="Z865" s="193"/>
      <c r="AA865" s="194"/>
      <c r="AB865" s="194"/>
      <c r="AC865" s="194"/>
      <c r="AD865" s="194"/>
      <c r="AE865" s="194"/>
      <c r="AF865" s="194"/>
      <c r="AG865" s="194"/>
      <c r="AH865" s="194"/>
      <c r="AI865" s="194"/>
      <c r="AJ865" s="194"/>
      <c r="AK865" s="195"/>
      <c r="AL865" s="164"/>
      <c r="AM865" s="164"/>
      <c r="AN865" s="164"/>
      <c r="AO865" s="164"/>
      <c r="AP865" s="164"/>
      <c r="AQ865" s="164"/>
    </row>
    <row r="866" spans="2:43" x14ac:dyDescent="0.3">
      <c r="B866" s="161"/>
      <c r="C866" s="162"/>
      <c r="D866" s="162"/>
      <c r="E866" s="163"/>
      <c r="F866" s="164"/>
      <c r="G866" s="164"/>
      <c r="H866" s="164"/>
      <c r="I866" s="164"/>
      <c r="J866" s="189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1"/>
      <c r="V866" s="171"/>
      <c r="W866" s="172"/>
      <c r="X866" s="172"/>
      <c r="Y866" s="173"/>
      <c r="Z866" s="199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1"/>
      <c r="AL866" s="164"/>
      <c r="AM866" s="164"/>
      <c r="AN866" s="164"/>
      <c r="AO866" s="164"/>
      <c r="AP866" s="164"/>
      <c r="AQ866" s="164"/>
    </row>
  </sheetData>
  <mergeCells count="1851">
    <mergeCell ref="B859:E862"/>
    <mergeCell ref="F859:I866"/>
    <mergeCell ref="J859:U866"/>
    <mergeCell ref="V859:Y866"/>
    <mergeCell ref="Z859:AK859"/>
    <mergeCell ref="AL859:AN862"/>
    <mergeCell ref="AO859:AQ862"/>
    <mergeCell ref="Z860:AK860"/>
    <mergeCell ref="Z861:AK861"/>
    <mergeCell ref="Z862:AK862"/>
    <mergeCell ref="B863:E866"/>
    <mergeCell ref="Z863:AK863"/>
    <mergeCell ref="AL863:AN866"/>
    <mergeCell ref="AO863:AQ866"/>
    <mergeCell ref="Z864:AK864"/>
    <mergeCell ref="Z865:AK865"/>
    <mergeCell ref="Z866:AK866"/>
    <mergeCell ref="B851:E854"/>
    <mergeCell ref="F851:I858"/>
    <mergeCell ref="J851:U858"/>
    <mergeCell ref="V851:Y858"/>
    <mergeCell ref="Z851:AK851"/>
    <mergeCell ref="AL851:AN854"/>
    <mergeCell ref="AO851:AQ854"/>
    <mergeCell ref="Z852:AK852"/>
    <mergeCell ref="Z853:AK853"/>
    <mergeCell ref="Z854:AK854"/>
    <mergeCell ref="B855:E858"/>
    <mergeCell ref="Z855:AK855"/>
    <mergeCell ref="AL855:AN858"/>
    <mergeCell ref="AO855:AQ858"/>
    <mergeCell ref="Z856:AK856"/>
    <mergeCell ref="Z857:AK857"/>
    <mergeCell ref="Z858:AK858"/>
    <mergeCell ref="B843:E846"/>
    <mergeCell ref="F843:I850"/>
    <mergeCell ref="J843:U850"/>
    <mergeCell ref="V843:Y850"/>
    <mergeCell ref="Z843:AK843"/>
    <mergeCell ref="AL843:AN846"/>
    <mergeCell ref="AO843:AQ846"/>
    <mergeCell ref="Z844:AK844"/>
    <mergeCell ref="Z845:AK845"/>
    <mergeCell ref="Z846:AK846"/>
    <mergeCell ref="B847:E850"/>
    <mergeCell ref="Z847:AK847"/>
    <mergeCell ref="AL847:AN850"/>
    <mergeCell ref="AO847:AQ850"/>
    <mergeCell ref="Z848:AK848"/>
    <mergeCell ref="Z849:AK849"/>
    <mergeCell ref="Z850:AK850"/>
    <mergeCell ref="B835:E838"/>
    <mergeCell ref="F835:I842"/>
    <mergeCell ref="J835:U842"/>
    <mergeCell ref="V835:Y842"/>
    <mergeCell ref="Z835:AK835"/>
    <mergeCell ref="AL835:AN838"/>
    <mergeCell ref="AO835:AQ838"/>
    <mergeCell ref="Z836:AK836"/>
    <mergeCell ref="Z837:AK837"/>
    <mergeCell ref="Z838:AK838"/>
    <mergeCell ref="B839:E842"/>
    <mergeCell ref="Z839:AK839"/>
    <mergeCell ref="AL839:AN842"/>
    <mergeCell ref="AO839:AQ842"/>
    <mergeCell ref="Z840:AK840"/>
    <mergeCell ref="Z841:AK841"/>
    <mergeCell ref="Z842:AK842"/>
    <mergeCell ref="B827:E830"/>
    <mergeCell ref="F827:I834"/>
    <mergeCell ref="J827:U834"/>
    <mergeCell ref="V827:Y834"/>
    <mergeCell ref="Z827:AK827"/>
    <mergeCell ref="AL827:AN830"/>
    <mergeCell ref="AO827:AQ830"/>
    <mergeCell ref="Z828:AK828"/>
    <mergeCell ref="Z829:AK829"/>
    <mergeCell ref="Z830:AK830"/>
    <mergeCell ref="B831:E834"/>
    <mergeCell ref="Z831:AK831"/>
    <mergeCell ref="AL831:AN834"/>
    <mergeCell ref="AO831:AQ834"/>
    <mergeCell ref="Z832:AK832"/>
    <mergeCell ref="Z833:AK833"/>
    <mergeCell ref="Z834:AK834"/>
    <mergeCell ref="B819:E822"/>
    <mergeCell ref="F819:I826"/>
    <mergeCell ref="J819:U826"/>
    <mergeCell ref="V819:Y826"/>
    <mergeCell ref="Z819:AK819"/>
    <mergeCell ref="AL819:AN822"/>
    <mergeCell ref="AO819:AQ822"/>
    <mergeCell ref="Z820:AK820"/>
    <mergeCell ref="Z821:AK821"/>
    <mergeCell ref="Z822:AK822"/>
    <mergeCell ref="B823:E826"/>
    <mergeCell ref="Z823:AK823"/>
    <mergeCell ref="AL823:AN826"/>
    <mergeCell ref="AO823:AQ826"/>
    <mergeCell ref="Z824:AK824"/>
    <mergeCell ref="Z825:AK825"/>
    <mergeCell ref="Z826:AK826"/>
    <mergeCell ref="B811:E814"/>
    <mergeCell ref="F811:I818"/>
    <mergeCell ref="J811:U818"/>
    <mergeCell ref="V811:Y818"/>
    <mergeCell ref="Z811:AK811"/>
    <mergeCell ref="AL811:AN814"/>
    <mergeCell ref="AO811:AQ814"/>
    <mergeCell ref="Z812:AK812"/>
    <mergeCell ref="Z813:AK813"/>
    <mergeCell ref="Z814:AK814"/>
    <mergeCell ref="B815:E818"/>
    <mergeCell ref="Z815:AK815"/>
    <mergeCell ref="AL815:AN818"/>
    <mergeCell ref="AO815:AQ818"/>
    <mergeCell ref="Z816:AK816"/>
    <mergeCell ref="Z817:AK817"/>
    <mergeCell ref="Z818:AK818"/>
    <mergeCell ref="B803:E806"/>
    <mergeCell ref="F803:I810"/>
    <mergeCell ref="J803:U810"/>
    <mergeCell ref="V803:Y810"/>
    <mergeCell ref="Z803:AK803"/>
    <mergeCell ref="AL803:AN806"/>
    <mergeCell ref="AO803:AQ806"/>
    <mergeCell ref="Z804:AK804"/>
    <mergeCell ref="Z805:AK805"/>
    <mergeCell ref="Z806:AK806"/>
    <mergeCell ref="B807:E810"/>
    <mergeCell ref="Z807:AK807"/>
    <mergeCell ref="AL807:AN810"/>
    <mergeCell ref="AO807:AQ810"/>
    <mergeCell ref="Z808:AK808"/>
    <mergeCell ref="Z809:AK809"/>
    <mergeCell ref="Z810:AK810"/>
    <mergeCell ref="B795:E798"/>
    <mergeCell ref="F795:I802"/>
    <mergeCell ref="J795:U802"/>
    <mergeCell ref="V795:Y802"/>
    <mergeCell ref="Z795:AK795"/>
    <mergeCell ref="AL795:AN798"/>
    <mergeCell ref="AO795:AQ798"/>
    <mergeCell ref="Z796:AK796"/>
    <mergeCell ref="Z797:AK797"/>
    <mergeCell ref="Z798:AK798"/>
    <mergeCell ref="B799:E802"/>
    <mergeCell ref="Z799:AK799"/>
    <mergeCell ref="AL799:AN802"/>
    <mergeCell ref="AO799:AQ802"/>
    <mergeCell ref="Z800:AK800"/>
    <mergeCell ref="Z801:AK801"/>
    <mergeCell ref="Z802:AK802"/>
    <mergeCell ref="B787:E790"/>
    <mergeCell ref="F787:I794"/>
    <mergeCell ref="J787:U794"/>
    <mergeCell ref="V787:Y794"/>
    <mergeCell ref="Z787:AK787"/>
    <mergeCell ref="AL787:AN790"/>
    <mergeCell ref="AO787:AQ790"/>
    <mergeCell ref="Z788:AK788"/>
    <mergeCell ref="Z789:AK789"/>
    <mergeCell ref="Z790:AK790"/>
    <mergeCell ref="B791:E794"/>
    <mergeCell ref="Z791:AK791"/>
    <mergeCell ref="AL791:AN794"/>
    <mergeCell ref="AO791:AQ794"/>
    <mergeCell ref="Z792:AK792"/>
    <mergeCell ref="Z793:AK793"/>
    <mergeCell ref="Z794:AK794"/>
    <mergeCell ref="B779:E782"/>
    <mergeCell ref="F779:I786"/>
    <mergeCell ref="J779:U786"/>
    <mergeCell ref="V779:Y786"/>
    <mergeCell ref="Z779:AK779"/>
    <mergeCell ref="AL779:AN782"/>
    <mergeCell ref="AO779:AQ782"/>
    <mergeCell ref="Z780:AK780"/>
    <mergeCell ref="Z781:AK781"/>
    <mergeCell ref="Z782:AK782"/>
    <mergeCell ref="B783:E786"/>
    <mergeCell ref="Z783:AK783"/>
    <mergeCell ref="AL783:AN786"/>
    <mergeCell ref="AO783:AQ786"/>
    <mergeCell ref="Z784:AK784"/>
    <mergeCell ref="Z785:AK785"/>
    <mergeCell ref="Z786:AK786"/>
    <mergeCell ref="B771:E774"/>
    <mergeCell ref="F771:I778"/>
    <mergeCell ref="J771:U778"/>
    <mergeCell ref="V771:Y778"/>
    <mergeCell ref="Z771:AK771"/>
    <mergeCell ref="AL771:AN774"/>
    <mergeCell ref="AO771:AQ774"/>
    <mergeCell ref="Z772:AK772"/>
    <mergeCell ref="Z773:AK773"/>
    <mergeCell ref="Z774:AK774"/>
    <mergeCell ref="B775:E778"/>
    <mergeCell ref="Z775:AK775"/>
    <mergeCell ref="AL775:AN778"/>
    <mergeCell ref="AO775:AQ778"/>
    <mergeCell ref="Z776:AK776"/>
    <mergeCell ref="Z777:AK777"/>
    <mergeCell ref="Z778:AK778"/>
    <mergeCell ref="B763:E766"/>
    <mergeCell ref="F763:I770"/>
    <mergeCell ref="J763:U770"/>
    <mergeCell ref="V763:Y770"/>
    <mergeCell ref="Z763:AK763"/>
    <mergeCell ref="AL763:AN766"/>
    <mergeCell ref="AO763:AQ766"/>
    <mergeCell ref="Z764:AK764"/>
    <mergeCell ref="Z765:AK765"/>
    <mergeCell ref="Z766:AK766"/>
    <mergeCell ref="B767:E770"/>
    <mergeCell ref="Z767:AK767"/>
    <mergeCell ref="AL767:AN770"/>
    <mergeCell ref="AO767:AQ770"/>
    <mergeCell ref="Z768:AK768"/>
    <mergeCell ref="Z769:AK769"/>
    <mergeCell ref="Z770:AK770"/>
    <mergeCell ref="B755:E758"/>
    <mergeCell ref="F755:I762"/>
    <mergeCell ref="J755:U762"/>
    <mergeCell ref="V755:Y762"/>
    <mergeCell ref="Z755:AK755"/>
    <mergeCell ref="AL755:AN758"/>
    <mergeCell ref="AO755:AQ758"/>
    <mergeCell ref="Z756:AK756"/>
    <mergeCell ref="Z757:AK757"/>
    <mergeCell ref="Z758:AK758"/>
    <mergeCell ref="B759:E762"/>
    <mergeCell ref="Z759:AK759"/>
    <mergeCell ref="AL759:AN762"/>
    <mergeCell ref="AO759:AQ762"/>
    <mergeCell ref="Z760:AK760"/>
    <mergeCell ref="Z761:AK761"/>
    <mergeCell ref="Z762:AK762"/>
    <mergeCell ref="B747:E750"/>
    <mergeCell ref="F747:I754"/>
    <mergeCell ref="J747:U754"/>
    <mergeCell ref="V747:Y754"/>
    <mergeCell ref="Z747:AK747"/>
    <mergeCell ref="AL747:AN750"/>
    <mergeCell ref="AO747:AQ750"/>
    <mergeCell ref="Z748:AK748"/>
    <mergeCell ref="Z749:AK749"/>
    <mergeCell ref="Z750:AK750"/>
    <mergeCell ref="B751:E754"/>
    <mergeCell ref="Z751:AK751"/>
    <mergeCell ref="AL751:AN754"/>
    <mergeCell ref="AO751:AQ754"/>
    <mergeCell ref="Z752:AK752"/>
    <mergeCell ref="Z753:AK753"/>
    <mergeCell ref="Z754:AK754"/>
    <mergeCell ref="B739:E742"/>
    <mergeCell ref="F739:I746"/>
    <mergeCell ref="J739:U746"/>
    <mergeCell ref="V739:Y746"/>
    <mergeCell ref="Z739:AK739"/>
    <mergeCell ref="AL739:AN742"/>
    <mergeCell ref="AO739:AQ742"/>
    <mergeCell ref="Z740:AK740"/>
    <mergeCell ref="Z741:AK741"/>
    <mergeCell ref="Z742:AK742"/>
    <mergeCell ref="B743:E746"/>
    <mergeCell ref="Z743:AK743"/>
    <mergeCell ref="AL743:AN746"/>
    <mergeCell ref="AO743:AQ746"/>
    <mergeCell ref="Z744:AK744"/>
    <mergeCell ref="Z745:AK745"/>
    <mergeCell ref="Z746:AK746"/>
    <mergeCell ref="B731:E734"/>
    <mergeCell ref="F731:I738"/>
    <mergeCell ref="J731:U738"/>
    <mergeCell ref="V731:Y738"/>
    <mergeCell ref="Z731:AK731"/>
    <mergeCell ref="AL731:AN734"/>
    <mergeCell ref="AO731:AQ734"/>
    <mergeCell ref="Z732:AK732"/>
    <mergeCell ref="Z733:AK733"/>
    <mergeCell ref="Z734:AK734"/>
    <mergeCell ref="B735:E738"/>
    <mergeCell ref="Z735:AK735"/>
    <mergeCell ref="AL735:AN738"/>
    <mergeCell ref="AO735:AQ738"/>
    <mergeCell ref="Z736:AK736"/>
    <mergeCell ref="Z737:AK737"/>
    <mergeCell ref="Z738:AK738"/>
    <mergeCell ref="B723:E726"/>
    <mergeCell ref="F723:I730"/>
    <mergeCell ref="J723:U730"/>
    <mergeCell ref="V723:Y730"/>
    <mergeCell ref="Z723:AK723"/>
    <mergeCell ref="AL723:AN726"/>
    <mergeCell ref="AO723:AQ726"/>
    <mergeCell ref="Z724:AK724"/>
    <mergeCell ref="Z725:AK725"/>
    <mergeCell ref="Z726:AK726"/>
    <mergeCell ref="B727:E730"/>
    <mergeCell ref="Z727:AK727"/>
    <mergeCell ref="AL727:AN730"/>
    <mergeCell ref="AO727:AQ730"/>
    <mergeCell ref="Z728:AK728"/>
    <mergeCell ref="Z729:AK729"/>
    <mergeCell ref="Z730:AK730"/>
    <mergeCell ref="B715:E718"/>
    <mergeCell ref="F715:I722"/>
    <mergeCell ref="J715:U722"/>
    <mergeCell ref="V715:Y722"/>
    <mergeCell ref="Z715:AK715"/>
    <mergeCell ref="AL715:AN718"/>
    <mergeCell ref="AO715:AQ718"/>
    <mergeCell ref="Z716:AK716"/>
    <mergeCell ref="Z717:AK717"/>
    <mergeCell ref="Z718:AK718"/>
    <mergeCell ref="B719:E722"/>
    <mergeCell ref="Z719:AK719"/>
    <mergeCell ref="AL719:AN722"/>
    <mergeCell ref="AO719:AQ722"/>
    <mergeCell ref="Z720:AK720"/>
    <mergeCell ref="Z721:AK721"/>
    <mergeCell ref="Z722:AK722"/>
    <mergeCell ref="B707:E710"/>
    <mergeCell ref="F707:I714"/>
    <mergeCell ref="J707:U714"/>
    <mergeCell ref="V707:Y714"/>
    <mergeCell ref="Z707:AK707"/>
    <mergeCell ref="AL707:AN710"/>
    <mergeCell ref="AO707:AQ710"/>
    <mergeCell ref="Z708:AK708"/>
    <mergeCell ref="Z709:AK709"/>
    <mergeCell ref="Z710:AK710"/>
    <mergeCell ref="B711:E714"/>
    <mergeCell ref="Z711:AK711"/>
    <mergeCell ref="AL711:AN714"/>
    <mergeCell ref="AO711:AQ714"/>
    <mergeCell ref="Z712:AK712"/>
    <mergeCell ref="Z713:AK713"/>
    <mergeCell ref="Z714:AK714"/>
    <mergeCell ref="B699:E702"/>
    <mergeCell ref="F699:I706"/>
    <mergeCell ref="J699:U706"/>
    <mergeCell ref="V699:Y706"/>
    <mergeCell ref="Z699:AK699"/>
    <mergeCell ref="AL699:AN702"/>
    <mergeCell ref="AO699:AQ702"/>
    <mergeCell ref="Z700:AK700"/>
    <mergeCell ref="Z701:AK701"/>
    <mergeCell ref="Z702:AK702"/>
    <mergeCell ref="B703:E706"/>
    <mergeCell ref="Z703:AK703"/>
    <mergeCell ref="AL703:AN706"/>
    <mergeCell ref="AO703:AQ706"/>
    <mergeCell ref="Z704:AK704"/>
    <mergeCell ref="Z705:AK705"/>
    <mergeCell ref="Z706:AK706"/>
    <mergeCell ref="B691:E694"/>
    <mergeCell ref="F691:I698"/>
    <mergeCell ref="J691:U698"/>
    <mergeCell ref="V691:Y698"/>
    <mergeCell ref="Z691:AK691"/>
    <mergeCell ref="AL691:AN694"/>
    <mergeCell ref="AO691:AQ694"/>
    <mergeCell ref="Z692:AK692"/>
    <mergeCell ref="Z693:AK693"/>
    <mergeCell ref="Z694:AK694"/>
    <mergeCell ref="B695:E698"/>
    <mergeCell ref="Z695:AK695"/>
    <mergeCell ref="AL695:AN698"/>
    <mergeCell ref="AO695:AQ698"/>
    <mergeCell ref="Z696:AK696"/>
    <mergeCell ref="Z697:AK697"/>
    <mergeCell ref="Z698:AK698"/>
    <mergeCell ref="B683:E686"/>
    <mergeCell ref="F683:I690"/>
    <mergeCell ref="J683:U690"/>
    <mergeCell ref="V683:Y690"/>
    <mergeCell ref="Z683:AK683"/>
    <mergeCell ref="AL683:AN686"/>
    <mergeCell ref="AO683:AQ686"/>
    <mergeCell ref="Z684:AK684"/>
    <mergeCell ref="Z685:AK685"/>
    <mergeCell ref="Z686:AK686"/>
    <mergeCell ref="B687:E690"/>
    <mergeCell ref="Z687:AK687"/>
    <mergeCell ref="AL687:AN690"/>
    <mergeCell ref="AO687:AQ690"/>
    <mergeCell ref="Z688:AK688"/>
    <mergeCell ref="Z689:AK689"/>
    <mergeCell ref="Z690:AK690"/>
    <mergeCell ref="B675:E678"/>
    <mergeCell ref="F675:I682"/>
    <mergeCell ref="J675:U682"/>
    <mergeCell ref="V675:Y682"/>
    <mergeCell ref="Z675:AK675"/>
    <mergeCell ref="AL675:AN678"/>
    <mergeCell ref="AO675:AQ678"/>
    <mergeCell ref="Z676:AK676"/>
    <mergeCell ref="Z677:AK677"/>
    <mergeCell ref="Z678:AK678"/>
    <mergeCell ref="B679:E682"/>
    <mergeCell ref="Z679:AK679"/>
    <mergeCell ref="AL679:AN682"/>
    <mergeCell ref="AO679:AQ682"/>
    <mergeCell ref="Z680:AK680"/>
    <mergeCell ref="Z681:AK681"/>
    <mergeCell ref="Z682:AK682"/>
    <mergeCell ref="B667:E670"/>
    <mergeCell ref="F667:I674"/>
    <mergeCell ref="J667:U674"/>
    <mergeCell ref="V667:Y674"/>
    <mergeCell ref="Z667:AK667"/>
    <mergeCell ref="AL667:AN670"/>
    <mergeCell ref="AO667:AQ670"/>
    <mergeCell ref="Z668:AK668"/>
    <mergeCell ref="Z669:AK669"/>
    <mergeCell ref="Z670:AK670"/>
    <mergeCell ref="B671:E674"/>
    <mergeCell ref="Z671:AK671"/>
    <mergeCell ref="AL671:AN674"/>
    <mergeCell ref="AO671:AQ674"/>
    <mergeCell ref="Z672:AK672"/>
    <mergeCell ref="Z673:AK673"/>
    <mergeCell ref="Z674:AK674"/>
    <mergeCell ref="B659:E662"/>
    <mergeCell ref="F659:I666"/>
    <mergeCell ref="J659:U666"/>
    <mergeCell ref="V659:Y666"/>
    <mergeCell ref="Z659:AK659"/>
    <mergeCell ref="AL659:AN662"/>
    <mergeCell ref="AO659:AQ662"/>
    <mergeCell ref="Z660:AK660"/>
    <mergeCell ref="Z661:AK661"/>
    <mergeCell ref="Z662:AK662"/>
    <mergeCell ref="B663:E666"/>
    <mergeCell ref="Z663:AK663"/>
    <mergeCell ref="AL663:AN666"/>
    <mergeCell ref="AO663:AQ666"/>
    <mergeCell ref="Z664:AK664"/>
    <mergeCell ref="Z665:AK665"/>
    <mergeCell ref="Z666:AK666"/>
    <mergeCell ref="B651:E654"/>
    <mergeCell ref="F651:I658"/>
    <mergeCell ref="J651:U658"/>
    <mergeCell ref="V651:Y658"/>
    <mergeCell ref="Z651:AK651"/>
    <mergeCell ref="AL651:AN654"/>
    <mergeCell ref="AO651:AQ654"/>
    <mergeCell ref="Z652:AK652"/>
    <mergeCell ref="Z653:AK653"/>
    <mergeCell ref="Z654:AK654"/>
    <mergeCell ref="B655:E658"/>
    <mergeCell ref="Z655:AK655"/>
    <mergeCell ref="AL655:AN658"/>
    <mergeCell ref="AO655:AQ658"/>
    <mergeCell ref="Z656:AK656"/>
    <mergeCell ref="Z657:AK657"/>
    <mergeCell ref="Z658:AK658"/>
    <mergeCell ref="B643:E646"/>
    <mergeCell ref="F643:I650"/>
    <mergeCell ref="J643:U650"/>
    <mergeCell ref="V643:Y650"/>
    <mergeCell ref="Z643:AK643"/>
    <mergeCell ref="AL643:AN646"/>
    <mergeCell ref="AO643:AQ646"/>
    <mergeCell ref="Z644:AK644"/>
    <mergeCell ref="Z645:AK645"/>
    <mergeCell ref="Z646:AK646"/>
    <mergeCell ref="B647:E650"/>
    <mergeCell ref="Z647:AK647"/>
    <mergeCell ref="AL647:AN650"/>
    <mergeCell ref="AO647:AQ650"/>
    <mergeCell ref="Z648:AK648"/>
    <mergeCell ref="Z649:AK649"/>
    <mergeCell ref="Z650:AK650"/>
    <mergeCell ref="B635:E638"/>
    <mergeCell ref="F635:I642"/>
    <mergeCell ref="J635:U642"/>
    <mergeCell ref="V635:Y642"/>
    <mergeCell ref="Z635:AK635"/>
    <mergeCell ref="AL635:AN638"/>
    <mergeCell ref="AO635:AQ638"/>
    <mergeCell ref="Z636:AK636"/>
    <mergeCell ref="Z637:AK637"/>
    <mergeCell ref="Z638:AK638"/>
    <mergeCell ref="B639:E642"/>
    <mergeCell ref="Z639:AK639"/>
    <mergeCell ref="AL639:AN642"/>
    <mergeCell ref="AO639:AQ642"/>
    <mergeCell ref="Z640:AK640"/>
    <mergeCell ref="Z641:AK641"/>
    <mergeCell ref="Z642:AK642"/>
    <mergeCell ref="B627:E630"/>
    <mergeCell ref="F627:I634"/>
    <mergeCell ref="J627:U634"/>
    <mergeCell ref="V627:Y634"/>
    <mergeCell ref="Z627:AK627"/>
    <mergeCell ref="AL627:AN630"/>
    <mergeCell ref="AO627:AQ630"/>
    <mergeCell ref="Z628:AK628"/>
    <mergeCell ref="Z629:AK629"/>
    <mergeCell ref="Z630:AK630"/>
    <mergeCell ref="B631:E634"/>
    <mergeCell ref="Z631:AK631"/>
    <mergeCell ref="AL631:AN634"/>
    <mergeCell ref="AO631:AQ634"/>
    <mergeCell ref="Z632:AK632"/>
    <mergeCell ref="Z633:AK633"/>
    <mergeCell ref="Z634:AK634"/>
    <mergeCell ref="B619:E622"/>
    <mergeCell ref="F619:I626"/>
    <mergeCell ref="J619:U626"/>
    <mergeCell ref="V619:Y626"/>
    <mergeCell ref="Z619:AK619"/>
    <mergeCell ref="AL619:AN622"/>
    <mergeCell ref="AO619:AQ622"/>
    <mergeCell ref="Z620:AK620"/>
    <mergeCell ref="Z621:AK621"/>
    <mergeCell ref="Z622:AK622"/>
    <mergeCell ref="B623:E626"/>
    <mergeCell ref="Z623:AK623"/>
    <mergeCell ref="AL623:AN626"/>
    <mergeCell ref="AO623:AQ626"/>
    <mergeCell ref="Z624:AK624"/>
    <mergeCell ref="Z625:AK625"/>
    <mergeCell ref="Z626:AK626"/>
    <mergeCell ref="B611:E614"/>
    <mergeCell ref="F611:I618"/>
    <mergeCell ref="J611:U618"/>
    <mergeCell ref="V611:Y618"/>
    <mergeCell ref="Z611:AK611"/>
    <mergeCell ref="AL611:AN614"/>
    <mergeCell ref="AO611:AQ614"/>
    <mergeCell ref="Z612:AK612"/>
    <mergeCell ref="Z613:AK613"/>
    <mergeCell ref="Z614:AK614"/>
    <mergeCell ref="B615:E618"/>
    <mergeCell ref="Z615:AK615"/>
    <mergeCell ref="AL615:AN618"/>
    <mergeCell ref="AO615:AQ618"/>
    <mergeCell ref="Z616:AK616"/>
    <mergeCell ref="Z617:AK617"/>
    <mergeCell ref="Z618:AK618"/>
    <mergeCell ref="B603:E606"/>
    <mergeCell ref="F603:I610"/>
    <mergeCell ref="J603:U610"/>
    <mergeCell ref="V603:Y610"/>
    <mergeCell ref="Z603:AK603"/>
    <mergeCell ref="AL603:AN606"/>
    <mergeCell ref="AO603:AQ606"/>
    <mergeCell ref="Z604:AK604"/>
    <mergeCell ref="Z605:AK605"/>
    <mergeCell ref="Z606:AK606"/>
    <mergeCell ref="B607:E610"/>
    <mergeCell ref="Z607:AK607"/>
    <mergeCell ref="AL607:AN610"/>
    <mergeCell ref="AO607:AQ610"/>
    <mergeCell ref="Z608:AK608"/>
    <mergeCell ref="Z609:AK609"/>
    <mergeCell ref="Z610:AK610"/>
    <mergeCell ref="B595:E598"/>
    <mergeCell ref="F595:I602"/>
    <mergeCell ref="J595:U602"/>
    <mergeCell ref="V595:Y602"/>
    <mergeCell ref="Z595:AK595"/>
    <mergeCell ref="AL595:AN598"/>
    <mergeCell ref="AO595:AQ598"/>
    <mergeCell ref="Z596:AK596"/>
    <mergeCell ref="Z597:AK597"/>
    <mergeCell ref="Z598:AK598"/>
    <mergeCell ref="B599:E602"/>
    <mergeCell ref="Z599:AK599"/>
    <mergeCell ref="AL599:AN602"/>
    <mergeCell ref="AO599:AQ602"/>
    <mergeCell ref="Z600:AK600"/>
    <mergeCell ref="Z601:AK601"/>
    <mergeCell ref="Z602:AK602"/>
    <mergeCell ref="B587:E590"/>
    <mergeCell ref="F587:I594"/>
    <mergeCell ref="J587:U594"/>
    <mergeCell ref="V587:Y594"/>
    <mergeCell ref="Z587:AK587"/>
    <mergeCell ref="AL587:AN590"/>
    <mergeCell ref="AO587:AQ590"/>
    <mergeCell ref="Z588:AK588"/>
    <mergeCell ref="Z589:AK589"/>
    <mergeCell ref="Z590:AK590"/>
    <mergeCell ref="B591:E594"/>
    <mergeCell ref="Z591:AK591"/>
    <mergeCell ref="AL591:AN594"/>
    <mergeCell ref="AO591:AQ594"/>
    <mergeCell ref="Z592:AK592"/>
    <mergeCell ref="Z593:AK593"/>
    <mergeCell ref="Z594:AK594"/>
    <mergeCell ref="B579:E582"/>
    <mergeCell ref="F579:I586"/>
    <mergeCell ref="J579:U586"/>
    <mergeCell ref="V579:Y586"/>
    <mergeCell ref="Z579:AK579"/>
    <mergeCell ref="AL579:AN582"/>
    <mergeCell ref="AO579:AQ582"/>
    <mergeCell ref="Z580:AK580"/>
    <mergeCell ref="Z581:AK581"/>
    <mergeCell ref="Z582:AK582"/>
    <mergeCell ref="B583:E586"/>
    <mergeCell ref="Z583:AK583"/>
    <mergeCell ref="AL583:AN586"/>
    <mergeCell ref="AO583:AQ586"/>
    <mergeCell ref="Z584:AK584"/>
    <mergeCell ref="Z585:AK585"/>
    <mergeCell ref="Z586:AK586"/>
    <mergeCell ref="B571:E574"/>
    <mergeCell ref="F571:I578"/>
    <mergeCell ref="J571:U578"/>
    <mergeCell ref="V571:Y578"/>
    <mergeCell ref="Z571:AK571"/>
    <mergeCell ref="AL571:AN574"/>
    <mergeCell ref="AO571:AQ574"/>
    <mergeCell ref="Z572:AK572"/>
    <mergeCell ref="Z573:AK573"/>
    <mergeCell ref="Z574:AK574"/>
    <mergeCell ref="B575:E578"/>
    <mergeCell ref="Z575:AK575"/>
    <mergeCell ref="AL575:AN578"/>
    <mergeCell ref="AO575:AQ578"/>
    <mergeCell ref="Z576:AK576"/>
    <mergeCell ref="Z577:AK577"/>
    <mergeCell ref="Z578:AK578"/>
    <mergeCell ref="B563:E566"/>
    <mergeCell ref="F563:I570"/>
    <mergeCell ref="J563:U570"/>
    <mergeCell ref="V563:Y570"/>
    <mergeCell ref="Z563:AK563"/>
    <mergeCell ref="AL563:AN566"/>
    <mergeCell ref="AO563:AQ566"/>
    <mergeCell ref="Z564:AK564"/>
    <mergeCell ref="Z565:AK565"/>
    <mergeCell ref="Z566:AK566"/>
    <mergeCell ref="B567:E570"/>
    <mergeCell ref="Z567:AK567"/>
    <mergeCell ref="AL567:AN570"/>
    <mergeCell ref="AO567:AQ570"/>
    <mergeCell ref="Z568:AK568"/>
    <mergeCell ref="Z569:AK569"/>
    <mergeCell ref="Z570:AK570"/>
    <mergeCell ref="B555:E558"/>
    <mergeCell ref="F555:I562"/>
    <mergeCell ref="J555:U562"/>
    <mergeCell ref="V555:Y562"/>
    <mergeCell ref="Z555:AK555"/>
    <mergeCell ref="AL555:AN558"/>
    <mergeCell ref="AO555:AQ558"/>
    <mergeCell ref="Z556:AK556"/>
    <mergeCell ref="Z557:AK557"/>
    <mergeCell ref="Z558:AK558"/>
    <mergeCell ref="B559:E562"/>
    <mergeCell ref="Z559:AK559"/>
    <mergeCell ref="AL559:AN562"/>
    <mergeCell ref="AO559:AQ562"/>
    <mergeCell ref="Z560:AK560"/>
    <mergeCell ref="Z561:AK561"/>
    <mergeCell ref="Z562:AK562"/>
    <mergeCell ref="B547:E550"/>
    <mergeCell ref="F547:I554"/>
    <mergeCell ref="J547:U554"/>
    <mergeCell ref="V547:Y554"/>
    <mergeCell ref="Z547:AK547"/>
    <mergeCell ref="AL547:AN550"/>
    <mergeCell ref="AO547:AQ550"/>
    <mergeCell ref="Z548:AK548"/>
    <mergeCell ref="Z549:AK549"/>
    <mergeCell ref="Z550:AK550"/>
    <mergeCell ref="B551:E554"/>
    <mergeCell ref="Z551:AK551"/>
    <mergeCell ref="AL551:AN554"/>
    <mergeCell ref="AO551:AQ554"/>
    <mergeCell ref="Z552:AK552"/>
    <mergeCell ref="Z553:AK553"/>
    <mergeCell ref="Z554:AK554"/>
    <mergeCell ref="B539:E542"/>
    <mergeCell ref="F539:I546"/>
    <mergeCell ref="J539:U546"/>
    <mergeCell ref="V539:Y546"/>
    <mergeCell ref="Z539:AK539"/>
    <mergeCell ref="AL539:AN542"/>
    <mergeCell ref="AO539:AQ542"/>
    <mergeCell ref="Z540:AK540"/>
    <mergeCell ref="Z541:AK541"/>
    <mergeCell ref="Z542:AK542"/>
    <mergeCell ref="B543:E546"/>
    <mergeCell ref="Z543:AK543"/>
    <mergeCell ref="AL543:AN546"/>
    <mergeCell ref="AO543:AQ546"/>
    <mergeCell ref="Z544:AK544"/>
    <mergeCell ref="Z545:AK545"/>
    <mergeCell ref="Z546:AK546"/>
    <mergeCell ref="B531:E534"/>
    <mergeCell ref="F531:I538"/>
    <mergeCell ref="J531:U538"/>
    <mergeCell ref="V531:Y538"/>
    <mergeCell ref="Z531:AK531"/>
    <mergeCell ref="AL531:AN534"/>
    <mergeCell ref="AO531:AQ534"/>
    <mergeCell ref="Z532:AK532"/>
    <mergeCell ref="Z533:AK533"/>
    <mergeCell ref="Z534:AK534"/>
    <mergeCell ref="B535:E538"/>
    <mergeCell ref="Z535:AK535"/>
    <mergeCell ref="AL535:AN538"/>
    <mergeCell ref="AO535:AQ538"/>
    <mergeCell ref="Z536:AK536"/>
    <mergeCell ref="Z537:AK537"/>
    <mergeCell ref="Z538:AK538"/>
    <mergeCell ref="B523:E526"/>
    <mergeCell ref="F523:I530"/>
    <mergeCell ref="J523:U530"/>
    <mergeCell ref="V523:Y530"/>
    <mergeCell ref="Z523:AK523"/>
    <mergeCell ref="AL523:AN526"/>
    <mergeCell ref="AO523:AQ526"/>
    <mergeCell ref="Z524:AK524"/>
    <mergeCell ref="Z525:AK525"/>
    <mergeCell ref="Z526:AK526"/>
    <mergeCell ref="B527:E530"/>
    <mergeCell ref="Z527:AK527"/>
    <mergeCell ref="AL527:AN530"/>
    <mergeCell ref="AO527:AQ530"/>
    <mergeCell ref="Z528:AK528"/>
    <mergeCell ref="Z529:AK529"/>
    <mergeCell ref="Z530:AK530"/>
    <mergeCell ref="B515:E518"/>
    <mergeCell ref="F515:I522"/>
    <mergeCell ref="J515:U522"/>
    <mergeCell ref="V515:Y522"/>
    <mergeCell ref="Z515:AK515"/>
    <mergeCell ref="AL515:AN518"/>
    <mergeCell ref="AO515:AQ518"/>
    <mergeCell ref="Z516:AK516"/>
    <mergeCell ref="Z517:AK517"/>
    <mergeCell ref="Z518:AK518"/>
    <mergeCell ref="B519:E522"/>
    <mergeCell ref="Z519:AK519"/>
    <mergeCell ref="AL519:AN522"/>
    <mergeCell ref="AO519:AQ522"/>
    <mergeCell ref="Z520:AK520"/>
    <mergeCell ref="Z521:AK521"/>
    <mergeCell ref="Z522:AK522"/>
    <mergeCell ref="B507:E510"/>
    <mergeCell ref="F507:I514"/>
    <mergeCell ref="J507:U514"/>
    <mergeCell ref="V507:Y514"/>
    <mergeCell ref="Z507:AK507"/>
    <mergeCell ref="AL507:AN510"/>
    <mergeCell ref="AO507:AQ510"/>
    <mergeCell ref="Z508:AK508"/>
    <mergeCell ref="Z509:AK509"/>
    <mergeCell ref="Z510:AK510"/>
    <mergeCell ref="B511:E514"/>
    <mergeCell ref="Z511:AK511"/>
    <mergeCell ref="AL511:AN514"/>
    <mergeCell ref="AO511:AQ514"/>
    <mergeCell ref="Z512:AK512"/>
    <mergeCell ref="Z513:AK513"/>
    <mergeCell ref="Z514:AK514"/>
    <mergeCell ref="B499:E502"/>
    <mergeCell ref="F499:I506"/>
    <mergeCell ref="J499:U506"/>
    <mergeCell ref="V499:Y506"/>
    <mergeCell ref="Z499:AK499"/>
    <mergeCell ref="AL499:AN502"/>
    <mergeCell ref="AO499:AQ502"/>
    <mergeCell ref="Z500:AK500"/>
    <mergeCell ref="Z501:AK501"/>
    <mergeCell ref="Z502:AK502"/>
    <mergeCell ref="B503:E506"/>
    <mergeCell ref="Z503:AK503"/>
    <mergeCell ref="AL503:AN506"/>
    <mergeCell ref="AO503:AQ506"/>
    <mergeCell ref="Z504:AK504"/>
    <mergeCell ref="Z505:AK505"/>
    <mergeCell ref="Z506:AK506"/>
    <mergeCell ref="B491:E494"/>
    <mergeCell ref="F491:I498"/>
    <mergeCell ref="J491:U498"/>
    <mergeCell ref="V491:Y498"/>
    <mergeCell ref="Z491:AK491"/>
    <mergeCell ref="AL491:AN494"/>
    <mergeCell ref="AO491:AQ494"/>
    <mergeCell ref="Z492:AK492"/>
    <mergeCell ref="Z493:AK493"/>
    <mergeCell ref="Z494:AK494"/>
    <mergeCell ref="B495:E498"/>
    <mergeCell ref="Z495:AK495"/>
    <mergeCell ref="AL495:AN498"/>
    <mergeCell ref="AO495:AQ498"/>
    <mergeCell ref="Z496:AK496"/>
    <mergeCell ref="Z497:AK497"/>
    <mergeCell ref="Z498:AK498"/>
    <mergeCell ref="B483:E486"/>
    <mergeCell ref="F483:I490"/>
    <mergeCell ref="J483:U490"/>
    <mergeCell ref="V483:Y490"/>
    <mergeCell ref="Z483:AK483"/>
    <mergeCell ref="AL483:AN486"/>
    <mergeCell ref="AO483:AQ486"/>
    <mergeCell ref="Z484:AK484"/>
    <mergeCell ref="Z485:AK485"/>
    <mergeCell ref="Z486:AK486"/>
    <mergeCell ref="B487:E490"/>
    <mergeCell ref="Z487:AK487"/>
    <mergeCell ref="AL487:AN490"/>
    <mergeCell ref="AO487:AQ490"/>
    <mergeCell ref="Z488:AK488"/>
    <mergeCell ref="Z489:AK489"/>
    <mergeCell ref="Z490:AK490"/>
    <mergeCell ref="B475:E478"/>
    <mergeCell ref="F475:I482"/>
    <mergeCell ref="J475:U482"/>
    <mergeCell ref="V475:Y482"/>
    <mergeCell ref="Z475:AK475"/>
    <mergeCell ref="AL475:AN478"/>
    <mergeCell ref="AO475:AQ478"/>
    <mergeCell ref="Z476:AK476"/>
    <mergeCell ref="Z477:AK477"/>
    <mergeCell ref="Z478:AK478"/>
    <mergeCell ref="B479:E482"/>
    <mergeCell ref="Z479:AK479"/>
    <mergeCell ref="AL479:AN482"/>
    <mergeCell ref="AO479:AQ482"/>
    <mergeCell ref="Z480:AK480"/>
    <mergeCell ref="Z481:AK481"/>
    <mergeCell ref="Z482:AK482"/>
    <mergeCell ref="B467:E470"/>
    <mergeCell ref="F467:I474"/>
    <mergeCell ref="J467:U474"/>
    <mergeCell ref="V467:Y474"/>
    <mergeCell ref="Z467:AK467"/>
    <mergeCell ref="AL467:AN470"/>
    <mergeCell ref="AO467:AQ470"/>
    <mergeCell ref="Z468:AK468"/>
    <mergeCell ref="Z469:AK469"/>
    <mergeCell ref="Z470:AK470"/>
    <mergeCell ref="B471:E474"/>
    <mergeCell ref="Z471:AK471"/>
    <mergeCell ref="AL471:AN474"/>
    <mergeCell ref="AO471:AQ474"/>
    <mergeCell ref="Z472:AK472"/>
    <mergeCell ref="Z473:AK473"/>
    <mergeCell ref="Z474:AK474"/>
    <mergeCell ref="B459:E462"/>
    <mergeCell ref="F459:I466"/>
    <mergeCell ref="J459:U466"/>
    <mergeCell ref="V459:Y466"/>
    <mergeCell ref="Z459:AK459"/>
    <mergeCell ref="AL459:AN462"/>
    <mergeCell ref="AO459:AQ462"/>
    <mergeCell ref="Z460:AK460"/>
    <mergeCell ref="Z461:AK461"/>
    <mergeCell ref="Z462:AK462"/>
    <mergeCell ref="B463:E466"/>
    <mergeCell ref="Z463:AK463"/>
    <mergeCell ref="AL463:AN466"/>
    <mergeCell ref="AO463:AQ466"/>
    <mergeCell ref="Z464:AK464"/>
    <mergeCell ref="Z465:AK465"/>
    <mergeCell ref="Z466:AK466"/>
    <mergeCell ref="B451:E454"/>
    <mergeCell ref="F451:I458"/>
    <mergeCell ref="J451:U458"/>
    <mergeCell ref="V451:Y458"/>
    <mergeCell ref="Z451:AK451"/>
    <mergeCell ref="AL451:AN454"/>
    <mergeCell ref="AO451:AQ454"/>
    <mergeCell ref="Z452:AK452"/>
    <mergeCell ref="Z453:AK453"/>
    <mergeCell ref="Z454:AK454"/>
    <mergeCell ref="B455:E458"/>
    <mergeCell ref="Z455:AK455"/>
    <mergeCell ref="AL455:AN458"/>
    <mergeCell ref="AO455:AQ458"/>
    <mergeCell ref="Z456:AK456"/>
    <mergeCell ref="Z457:AK457"/>
    <mergeCell ref="Z458:AK458"/>
    <mergeCell ref="B443:E446"/>
    <mergeCell ref="F443:I450"/>
    <mergeCell ref="J443:U450"/>
    <mergeCell ref="V443:Y450"/>
    <mergeCell ref="Z443:AK443"/>
    <mergeCell ref="AL443:AN446"/>
    <mergeCell ref="AO443:AQ446"/>
    <mergeCell ref="Z444:AK444"/>
    <mergeCell ref="Z445:AK445"/>
    <mergeCell ref="Z446:AK446"/>
    <mergeCell ref="B447:E450"/>
    <mergeCell ref="Z447:AK447"/>
    <mergeCell ref="AL447:AN450"/>
    <mergeCell ref="AO447:AQ450"/>
    <mergeCell ref="Z448:AK448"/>
    <mergeCell ref="Z449:AK449"/>
    <mergeCell ref="Z450:AK450"/>
    <mergeCell ref="B435:E438"/>
    <mergeCell ref="F435:I442"/>
    <mergeCell ref="J435:U442"/>
    <mergeCell ref="V435:Y442"/>
    <mergeCell ref="Z435:AK435"/>
    <mergeCell ref="AL435:AN438"/>
    <mergeCell ref="AO435:AQ438"/>
    <mergeCell ref="Z436:AK436"/>
    <mergeCell ref="Z437:AK437"/>
    <mergeCell ref="Z438:AK438"/>
    <mergeCell ref="B439:E442"/>
    <mergeCell ref="Z439:AK439"/>
    <mergeCell ref="AL439:AN442"/>
    <mergeCell ref="AO439:AQ442"/>
    <mergeCell ref="Z440:AK440"/>
    <mergeCell ref="Z441:AK441"/>
    <mergeCell ref="Z442:AK442"/>
    <mergeCell ref="B427:E430"/>
    <mergeCell ref="F427:I434"/>
    <mergeCell ref="J427:U434"/>
    <mergeCell ref="V427:Y434"/>
    <mergeCell ref="Z427:AK427"/>
    <mergeCell ref="AL427:AN430"/>
    <mergeCell ref="AO427:AQ430"/>
    <mergeCell ref="Z428:AK428"/>
    <mergeCell ref="Z429:AK429"/>
    <mergeCell ref="Z430:AK430"/>
    <mergeCell ref="B431:E434"/>
    <mergeCell ref="Z431:AK431"/>
    <mergeCell ref="AL431:AN434"/>
    <mergeCell ref="AO431:AQ434"/>
    <mergeCell ref="Z432:AK432"/>
    <mergeCell ref="Z433:AK433"/>
    <mergeCell ref="Z434:AK434"/>
    <mergeCell ref="B419:E422"/>
    <mergeCell ref="F419:I426"/>
    <mergeCell ref="J419:U426"/>
    <mergeCell ref="V419:Y426"/>
    <mergeCell ref="Z419:AK419"/>
    <mergeCell ref="AL419:AN422"/>
    <mergeCell ref="AO419:AQ422"/>
    <mergeCell ref="Z420:AK420"/>
    <mergeCell ref="Z421:AK421"/>
    <mergeCell ref="Z422:AK422"/>
    <mergeCell ref="B423:E426"/>
    <mergeCell ref="Z423:AK423"/>
    <mergeCell ref="AL423:AN426"/>
    <mergeCell ref="AO423:AQ426"/>
    <mergeCell ref="Z424:AK424"/>
    <mergeCell ref="Z425:AK425"/>
    <mergeCell ref="Z426:AK426"/>
    <mergeCell ref="B411:E414"/>
    <mergeCell ref="F411:I418"/>
    <mergeCell ref="J411:U418"/>
    <mergeCell ref="V411:Y418"/>
    <mergeCell ref="Z411:AK411"/>
    <mergeCell ref="AL411:AN414"/>
    <mergeCell ref="AO411:AQ414"/>
    <mergeCell ref="Z412:AK412"/>
    <mergeCell ref="Z413:AK413"/>
    <mergeCell ref="Z414:AK414"/>
    <mergeCell ref="B415:E418"/>
    <mergeCell ref="Z415:AK415"/>
    <mergeCell ref="AL415:AN418"/>
    <mergeCell ref="AO415:AQ418"/>
    <mergeCell ref="Z416:AK416"/>
    <mergeCell ref="Z417:AK417"/>
    <mergeCell ref="Z418:AK418"/>
    <mergeCell ref="I2:U2"/>
    <mergeCell ref="V2:AD5"/>
    <mergeCell ref="AE2:AE3"/>
    <mergeCell ref="AF2:AG2"/>
    <mergeCell ref="AH2:AI2"/>
    <mergeCell ref="I4:U4"/>
    <mergeCell ref="AE4:AE5"/>
    <mergeCell ref="AL4:AL5"/>
    <mergeCell ref="B5:H5"/>
    <mergeCell ref="I5:U5"/>
    <mergeCell ref="V7:Y8"/>
    <mergeCell ref="Z7:AK10"/>
    <mergeCell ref="AJ2:AK2"/>
    <mergeCell ref="AL2:AL3"/>
    <mergeCell ref="AO9:AQ10"/>
    <mergeCell ref="F11:I18"/>
    <mergeCell ref="V11:Y18"/>
    <mergeCell ref="Z11:AK11"/>
    <mergeCell ref="AL7:AN8"/>
    <mergeCell ref="AO7:AQ8"/>
    <mergeCell ref="V9:Y10"/>
    <mergeCell ref="AL9:AN10"/>
    <mergeCell ref="Z18:AK18"/>
    <mergeCell ref="Z16:AK16"/>
    <mergeCell ref="Z17:AK17"/>
    <mergeCell ref="AM2:AQ2"/>
    <mergeCell ref="B3:H3"/>
    <mergeCell ref="I3:U3"/>
    <mergeCell ref="AF3:AG5"/>
    <mergeCell ref="AH3:AI5"/>
    <mergeCell ref="AJ3:AK5"/>
    <mergeCell ref="AM3:AQ5"/>
    <mergeCell ref="B4:H4"/>
    <mergeCell ref="B2:H2"/>
    <mergeCell ref="V19:Y26"/>
    <mergeCell ref="AL11:AN14"/>
    <mergeCell ref="AO11:AQ14"/>
    <mergeCell ref="Z12:AK12"/>
    <mergeCell ref="Z13:AK13"/>
    <mergeCell ref="Z14:AK14"/>
    <mergeCell ref="Z15:AK15"/>
    <mergeCell ref="AL15:AN18"/>
    <mergeCell ref="AO15:AQ18"/>
    <mergeCell ref="Z26:AK26"/>
    <mergeCell ref="Z21:AK21"/>
    <mergeCell ref="Z22:AK22"/>
    <mergeCell ref="Z23:AK23"/>
    <mergeCell ref="AL23:AN26"/>
    <mergeCell ref="AO23:AQ26"/>
    <mergeCell ref="Z24:AK24"/>
    <mergeCell ref="Z25:AK25"/>
    <mergeCell ref="Z19:AK19"/>
    <mergeCell ref="AL19:AN22"/>
    <mergeCell ref="AO19:AQ22"/>
    <mergeCell ref="Z20:AK20"/>
    <mergeCell ref="AO31:AQ34"/>
    <mergeCell ref="Z32:AK32"/>
    <mergeCell ref="Z33:AK33"/>
    <mergeCell ref="J27:U34"/>
    <mergeCell ref="Z27:AK27"/>
    <mergeCell ref="AL27:AN30"/>
    <mergeCell ref="AO27:AQ30"/>
    <mergeCell ref="Z28:AK28"/>
    <mergeCell ref="Z29:AK29"/>
    <mergeCell ref="Z30:AK30"/>
    <mergeCell ref="Z31:AK31"/>
    <mergeCell ref="AL31:AN34"/>
    <mergeCell ref="V27:Y34"/>
    <mergeCell ref="Z34:AK34"/>
    <mergeCell ref="AO39:AQ42"/>
    <mergeCell ref="Z40:AK40"/>
    <mergeCell ref="Z41:AK41"/>
    <mergeCell ref="J35:U42"/>
    <mergeCell ref="Z35:AK35"/>
    <mergeCell ref="AL35:AN38"/>
    <mergeCell ref="AO35:AQ38"/>
    <mergeCell ref="Z36:AK36"/>
    <mergeCell ref="Z37:AK37"/>
    <mergeCell ref="Z38:AK38"/>
    <mergeCell ref="Z39:AK39"/>
    <mergeCell ref="AL39:AN42"/>
    <mergeCell ref="V35:Y42"/>
    <mergeCell ref="Z42:AK42"/>
    <mergeCell ref="AO47:AQ50"/>
    <mergeCell ref="Z48:AK48"/>
    <mergeCell ref="Z49:AK49"/>
    <mergeCell ref="B47:E50"/>
    <mergeCell ref="Z43:AK43"/>
    <mergeCell ref="AL43:AN46"/>
    <mergeCell ref="AO43:AQ46"/>
    <mergeCell ref="Z44:AK44"/>
    <mergeCell ref="Z45:AK45"/>
    <mergeCell ref="Z46:AK46"/>
    <mergeCell ref="Z47:AK47"/>
    <mergeCell ref="AL47:AN50"/>
    <mergeCell ref="F43:I50"/>
    <mergeCell ref="V43:Y50"/>
    <mergeCell ref="B43:E46"/>
    <mergeCell ref="Z50:AK50"/>
    <mergeCell ref="J43:U50"/>
    <mergeCell ref="AO55:AQ58"/>
    <mergeCell ref="Z56:AK56"/>
    <mergeCell ref="Z57:AK57"/>
    <mergeCell ref="B55:E58"/>
    <mergeCell ref="Z51:AK51"/>
    <mergeCell ref="AL51:AN54"/>
    <mergeCell ref="AO51:AQ54"/>
    <mergeCell ref="Z52:AK52"/>
    <mergeCell ref="Z53:AK53"/>
    <mergeCell ref="Z54:AK54"/>
    <mergeCell ref="Z55:AK55"/>
    <mergeCell ref="AL55:AN58"/>
    <mergeCell ref="F51:I58"/>
    <mergeCell ref="V51:Y58"/>
    <mergeCell ref="B51:E54"/>
    <mergeCell ref="Z58:AK58"/>
    <mergeCell ref="J51:U58"/>
    <mergeCell ref="AO63:AQ66"/>
    <mergeCell ref="Z64:AK64"/>
    <mergeCell ref="Z65:AK65"/>
    <mergeCell ref="B63:E66"/>
    <mergeCell ref="Z59:AK59"/>
    <mergeCell ref="AL59:AN62"/>
    <mergeCell ref="AO59:AQ62"/>
    <mergeCell ref="Z60:AK60"/>
    <mergeCell ref="Z61:AK61"/>
    <mergeCell ref="Z62:AK62"/>
    <mergeCell ref="Z63:AK63"/>
    <mergeCell ref="AL63:AN66"/>
    <mergeCell ref="F59:I66"/>
    <mergeCell ref="V59:Y66"/>
    <mergeCell ref="B59:E62"/>
    <mergeCell ref="Z66:AK66"/>
    <mergeCell ref="J59:U66"/>
    <mergeCell ref="AO71:AQ74"/>
    <mergeCell ref="Z72:AK72"/>
    <mergeCell ref="Z73:AK73"/>
    <mergeCell ref="B71:E74"/>
    <mergeCell ref="Z67:AK67"/>
    <mergeCell ref="AL67:AN70"/>
    <mergeCell ref="AO67:AQ70"/>
    <mergeCell ref="Z68:AK68"/>
    <mergeCell ref="Z69:AK69"/>
    <mergeCell ref="Z70:AK70"/>
    <mergeCell ref="Z71:AK71"/>
    <mergeCell ref="AL71:AN74"/>
    <mergeCell ref="F67:I74"/>
    <mergeCell ref="V67:Y74"/>
    <mergeCell ref="B67:E70"/>
    <mergeCell ref="Z74:AK74"/>
    <mergeCell ref="J67:U74"/>
    <mergeCell ref="AO79:AQ82"/>
    <mergeCell ref="Z80:AK80"/>
    <mergeCell ref="Z81:AK81"/>
    <mergeCell ref="B79:E82"/>
    <mergeCell ref="Z75:AK75"/>
    <mergeCell ref="AL75:AN78"/>
    <mergeCell ref="AO75:AQ78"/>
    <mergeCell ref="Z76:AK76"/>
    <mergeCell ref="Z77:AK77"/>
    <mergeCell ref="Z78:AK78"/>
    <mergeCell ref="Z79:AK79"/>
    <mergeCell ref="AL79:AN82"/>
    <mergeCell ref="F75:I82"/>
    <mergeCell ref="V75:Y82"/>
    <mergeCell ref="B75:E78"/>
    <mergeCell ref="Z82:AK82"/>
    <mergeCell ref="J75:U82"/>
    <mergeCell ref="AO87:AQ90"/>
    <mergeCell ref="Z88:AK88"/>
    <mergeCell ref="Z89:AK89"/>
    <mergeCell ref="B87:E90"/>
    <mergeCell ref="Z83:AK83"/>
    <mergeCell ref="AL83:AN86"/>
    <mergeCell ref="AO83:AQ86"/>
    <mergeCell ref="Z84:AK84"/>
    <mergeCell ref="Z85:AK85"/>
    <mergeCell ref="Z86:AK86"/>
    <mergeCell ref="Z87:AK87"/>
    <mergeCell ref="AL87:AN90"/>
    <mergeCell ref="F83:I90"/>
    <mergeCell ref="V83:Y90"/>
    <mergeCell ref="B83:E86"/>
    <mergeCell ref="Z90:AK90"/>
    <mergeCell ref="J83:U90"/>
    <mergeCell ref="AO95:AQ98"/>
    <mergeCell ref="Z96:AK96"/>
    <mergeCell ref="Z97:AK97"/>
    <mergeCell ref="B95:E98"/>
    <mergeCell ref="Z91:AK91"/>
    <mergeCell ref="AL91:AN94"/>
    <mergeCell ref="AO91:AQ94"/>
    <mergeCell ref="Z92:AK92"/>
    <mergeCell ref="Z93:AK93"/>
    <mergeCell ref="Z94:AK94"/>
    <mergeCell ref="Z95:AK95"/>
    <mergeCell ref="AL95:AN98"/>
    <mergeCell ref="F91:I98"/>
    <mergeCell ref="V91:Y98"/>
    <mergeCell ref="B91:E94"/>
    <mergeCell ref="Z98:AK98"/>
    <mergeCell ref="J91:U98"/>
    <mergeCell ref="AO103:AQ106"/>
    <mergeCell ref="Z104:AK104"/>
    <mergeCell ref="Z105:AK105"/>
    <mergeCell ref="B103:E106"/>
    <mergeCell ref="Z99:AK99"/>
    <mergeCell ref="AL99:AN102"/>
    <mergeCell ref="AO99:AQ102"/>
    <mergeCell ref="Z100:AK100"/>
    <mergeCell ref="Z101:AK101"/>
    <mergeCell ref="Z102:AK102"/>
    <mergeCell ref="Z103:AK103"/>
    <mergeCell ref="AL103:AN106"/>
    <mergeCell ref="F99:I106"/>
    <mergeCell ref="V99:Y106"/>
    <mergeCell ref="B99:E102"/>
    <mergeCell ref="Z106:AK106"/>
    <mergeCell ref="J99:U106"/>
    <mergeCell ref="AO111:AQ114"/>
    <mergeCell ref="Z112:AK112"/>
    <mergeCell ref="Z113:AK113"/>
    <mergeCell ref="B111:E114"/>
    <mergeCell ref="Z107:AK107"/>
    <mergeCell ref="AL107:AN110"/>
    <mergeCell ref="AO107:AQ110"/>
    <mergeCell ref="Z108:AK108"/>
    <mergeCell ref="Z109:AK109"/>
    <mergeCell ref="Z110:AK110"/>
    <mergeCell ref="Z111:AK111"/>
    <mergeCell ref="AL111:AN114"/>
    <mergeCell ref="F107:I114"/>
    <mergeCell ref="V107:Y114"/>
    <mergeCell ref="B107:E110"/>
    <mergeCell ref="Z114:AK114"/>
    <mergeCell ref="J107:U114"/>
    <mergeCell ref="AO119:AQ122"/>
    <mergeCell ref="Z120:AK120"/>
    <mergeCell ref="Z121:AK121"/>
    <mergeCell ref="B119:E122"/>
    <mergeCell ref="Z115:AK115"/>
    <mergeCell ref="AL115:AN118"/>
    <mergeCell ref="AO115:AQ118"/>
    <mergeCell ref="Z116:AK116"/>
    <mergeCell ref="Z117:AK117"/>
    <mergeCell ref="Z118:AK118"/>
    <mergeCell ref="Z119:AK119"/>
    <mergeCell ref="AL119:AN122"/>
    <mergeCell ref="F115:I122"/>
    <mergeCell ref="V115:Y122"/>
    <mergeCell ref="B115:E118"/>
    <mergeCell ref="Z122:AK122"/>
    <mergeCell ref="J115:U122"/>
    <mergeCell ref="AO127:AQ130"/>
    <mergeCell ref="Z128:AK128"/>
    <mergeCell ref="Z129:AK129"/>
    <mergeCell ref="B127:E130"/>
    <mergeCell ref="Z123:AK123"/>
    <mergeCell ref="AL123:AN126"/>
    <mergeCell ref="AO123:AQ126"/>
    <mergeCell ref="Z124:AK124"/>
    <mergeCell ref="Z125:AK125"/>
    <mergeCell ref="Z126:AK126"/>
    <mergeCell ref="Z127:AK127"/>
    <mergeCell ref="AL127:AN130"/>
    <mergeCell ref="F123:I130"/>
    <mergeCell ref="V123:Y130"/>
    <mergeCell ref="B123:E126"/>
    <mergeCell ref="Z130:AK130"/>
    <mergeCell ref="J123:U130"/>
    <mergeCell ref="AO135:AQ138"/>
    <mergeCell ref="Z136:AK136"/>
    <mergeCell ref="Z137:AK137"/>
    <mergeCell ref="B135:E138"/>
    <mergeCell ref="Z131:AK131"/>
    <mergeCell ref="AL131:AN134"/>
    <mergeCell ref="AO131:AQ134"/>
    <mergeCell ref="Z132:AK132"/>
    <mergeCell ref="Z133:AK133"/>
    <mergeCell ref="Z134:AK134"/>
    <mergeCell ref="Z135:AK135"/>
    <mergeCell ref="AL135:AN138"/>
    <mergeCell ref="F131:I138"/>
    <mergeCell ref="V131:Y138"/>
    <mergeCell ref="B131:E134"/>
    <mergeCell ref="Z138:AK138"/>
    <mergeCell ref="J131:U138"/>
    <mergeCell ref="AO143:AQ146"/>
    <mergeCell ref="Z144:AK144"/>
    <mergeCell ref="Z145:AK145"/>
    <mergeCell ref="B143:E146"/>
    <mergeCell ref="Z139:AK139"/>
    <mergeCell ref="AL139:AN142"/>
    <mergeCell ref="AO139:AQ142"/>
    <mergeCell ref="Z140:AK140"/>
    <mergeCell ref="Z141:AK141"/>
    <mergeCell ref="Z142:AK142"/>
    <mergeCell ref="Z143:AK143"/>
    <mergeCell ref="AL143:AN146"/>
    <mergeCell ref="F139:I146"/>
    <mergeCell ref="V139:Y146"/>
    <mergeCell ref="B139:E142"/>
    <mergeCell ref="Z146:AK146"/>
    <mergeCell ref="J139:U146"/>
    <mergeCell ref="AO151:AQ154"/>
    <mergeCell ref="Z152:AK152"/>
    <mergeCell ref="Z153:AK153"/>
    <mergeCell ref="B151:E154"/>
    <mergeCell ref="Z147:AK147"/>
    <mergeCell ref="AL147:AN150"/>
    <mergeCell ref="AO147:AQ150"/>
    <mergeCell ref="Z148:AK148"/>
    <mergeCell ref="Z149:AK149"/>
    <mergeCell ref="Z150:AK150"/>
    <mergeCell ref="Z151:AK151"/>
    <mergeCell ref="AL151:AN154"/>
    <mergeCell ref="F147:I154"/>
    <mergeCell ref="V147:Y154"/>
    <mergeCell ref="B147:E150"/>
    <mergeCell ref="Z154:AK154"/>
    <mergeCell ref="J147:U154"/>
    <mergeCell ref="AO159:AQ162"/>
    <mergeCell ref="Z160:AK160"/>
    <mergeCell ref="Z161:AK161"/>
    <mergeCell ref="B159:E162"/>
    <mergeCell ref="Z155:AK155"/>
    <mergeCell ref="AL155:AN158"/>
    <mergeCell ref="AO155:AQ158"/>
    <mergeCell ref="Z156:AK156"/>
    <mergeCell ref="Z157:AK157"/>
    <mergeCell ref="Z158:AK158"/>
    <mergeCell ref="Z159:AK159"/>
    <mergeCell ref="AL159:AN162"/>
    <mergeCell ref="F155:I162"/>
    <mergeCell ref="V155:Y162"/>
    <mergeCell ref="B155:E158"/>
    <mergeCell ref="J155:U162"/>
    <mergeCell ref="Z162:AK162"/>
    <mergeCell ref="AO167:AQ170"/>
    <mergeCell ref="Z168:AK168"/>
    <mergeCell ref="Z169:AK169"/>
    <mergeCell ref="B167:E170"/>
    <mergeCell ref="Z163:AK163"/>
    <mergeCell ref="AL163:AN166"/>
    <mergeCell ref="AO163:AQ166"/>
    <mergeCell ref="Z164:AK164"/>
    <mergeCell ref="Z165:AK165"/>
    <mergeCell ref="Z166:AK166"/>
    <mergeCell ref="Z167:AK167"/>
    <mergeCell ref="AL167:AN170"/>
    <mergeCell ref="F163:I170"/>
    <mergeCell ref="V163:Y170"/>
    <mergeCell ref="B163:E166"/>
    <mergeCell ref="J163:U170"/>
    <mergeCell ref="Z170:AK170"/>
    <mergeCell ref="AO175:AQ178"/>
    <mergeCell ref="Z176:AK176"/>
    <mergeCell ref="Z177:AK177"/>
    <mergeCell ref="B175:E178"/>
    <mergeCell ref="Z171:AK171"/>
    <mergeCell ref="AL171:AN174"/>
    <mergeCell ref="AO171:AQ174"/>
    <mergeCell ref="Z172:AK172"/>
    <mergeCell ref="Z173:AK173"/>
    <mergeCell ref="Z174:AK174"/>
    <mergeCell ref="Z175:AK175"/>
    <mergeCell ref="AL175:AN178"/>
    <mergeCell ref="F171:I178"/>
    <mergeCell ref="V171:Y178"/>
    <mergeCell ref="B171:E174"/>
    <mergeCell ref="J171:U178"/>
    <mergeCell ref="Z178:AK178"/>
    <mergeCell ref="AO183:AQ186"/>
    <mergeCell ref="Z184:AK184"/>
    <mergeCell ref="Z185:AK185"/>
    <mergeCell ref="B183:E186"/>
    <mergeCell ref="Z179:AK179"/>
    <mergeCell ref="AL179:AN182"/>
    <mergeCell ref="AO179:AQ182"/>
    <mergeCell ref="Z180:AK180"/>
    <mergeCell ref="Z181:AK181"/>
    <mergeCell ref="Z182:AK182"/>
    <mergeCell ref="Z183:AK183"/>
    <mergeCell ref="AL183:AN186"/>
    <mergeCell ref="F179:I186"/>
    <mergeCell ref="V179:Y186"/>
    <mergeCell ref="B179:E182"/>
    <mergeCell ref="J179:U186"/>
    <mergeCell ref="Z186:AK186"/>
    <mergeCell ref="AO191:AQ194"/>
    <mergeCell ref="Z192:AK192"/>
    <mergeCell ref="Z193:AK193"/>
    <mergeCell ref="B191:E194"/>
    <mergeCell ref="Z187:AK187"/>
    <mergeCell ref="AL187:AN190"/>
    <mergeCell ref="AO187:AQ190"/>
    <mergeCell ref="Z188:AK188"/>
    <mergeCell ref="Z189:AK189"/>
    <mergeCell ref="Z190:AK190"/>
    <mergeCell ref="Z191:AK191"/>
    <mergeCell ref="AL191:AN194"/>
    <mergeCell ref="F187:I194"/>
    <mergeCell ref="V187:Y194"/>
    <mergeCell ref="B187:E190"/>
    <mergeCell ref="J187:U194"/>
    <mergeCell ref="Z194:AK194"/>
    <mergeCell ref="AO199:AQ202"/>
    <mergeCell ref="Z200:AK200"/>
    <mergeCell ref="Z201:AK201"/>
    <mergeCell ref="B199:E202"/>
    <mergeCell ref="Z195:AK195"/>
    <mergeCell ref="AL195:AN198"/>
    <mergeCell ref="AO195:AQ198"/>
    <mergeCell ref="Z196:AK196"/>
    <mergeCell ref="Z197:AK197"/>
    <mergeCell ref="Z198:AK198"/>
    <mergeCell ref="Z199:AK199"/>
    <mergeCell ref="AL199:AN202"/>
    <mergeCell ref="F195:I202"/>
    <mergeCell ref="V195:Y202"/>
    <mergeCell ref="B195:E198"/>
    <mergeCell ref="J195:U202"/>
    <mergeCell ref="Z202:AK202"/>
    <mergeCell ref="AO207:AQ210"/>
    <mergeCell ref="Z208:AK208"/>
    <mergeCell ref="Z209:AK209"/>
    <mergeCell ref="B207:E210"/>
    <mergeCell ref="Z203:AK203"/>
    <mergeCell ref="AL203:AN206"/>
    <mergeCell ref="AO203:AQ206"/>
    <mergeCell ref="Z204:AK204"/>
    <mergeCell ref="Z205:AK205"/>
    <mergeCell ref="Z206:AK206"/>
    <mergeCell ref="Z207:AK207"/>
    <mergeCell ref="AL207:AN210"/>
    <mergeCell ref="F203:I210"/>
    <mergeCell ref="V203:Y210"/>
    <mergeCell ref="B203:E206"/>
    <mergeCell ref="J203:U210"/>
    <mergeCell ref="Z210:AK210"/>
    <mergeCell ref="AO215:AQ218"/>
    <mergeCell ref="Z216:AK216"/>
    <mergeCell ref="Z217:AK217"/>
    <mergeCell ref="B215:E218"/>
    <mergeCell ref="Z211:AK211"/>
    <mergeCell ref="AL211:AN214"/>
    <mergeCell ref="AO211:AQ214"/>
    <mergeCell ref="Z212:AK212"/>
    <mergeCell ref="Z213:AK213"/>
    <mergeCell ref="Z214:AK214"/>
    <mergeCell ref="Z215:AK215"/>
    <mergeCell ref="AL215:AN218"/>
    <mergeCell ref="F211:I218"/>
    <mergeCell ref="V211:Y218"/>
    <mergeCell ref="B211:E214"/>
    <mergeCell ref="J211:U218"/>
    <mergeCell ref="Z218:AK218"/>
    <mergeCell ref="AO223:AQ226"/>
    <mergeCell ref="Z224:AK224"/>
    <mergeCell ref="Z225:AK225"/>
    <mergeCell ref="B223:E226"/>
    <mergeCell ref="Z219:AK219"/>
    <mergeCell ref="AL219:AN222"/>
    <mergeCell ref="AO219:AQ222"/>
    <mergeCell ref="Z220:AK220"/>
    <mergeCell ref="Z221:AK221"/>
    <mergeCell ref="Z222:AK222"/>
    <mergeCell ref="Z223:AK223"/>
    <mergeCell ref="AL223:AN226"/>
    <mergeCell ref="F219:I226"/>
    <mergeCell ref="V219:Y226"/>
    <mergeCell ref="B219:E222"/>
    <mergeCell ref="J219:U226"/>
    <mergeCell ref="Z226:AK226"/>
    <mergeCell ref="AO231:AQ234"/>
    <mergeCell ref="Z232:AK232"/>
    <mergeCell ref="Z233:AK233"/>
    <mergeCell ref="B231:E234"/>
    <mergeCell ref="Z227:AK227"/>
    <mergeCell ref="AL227:AN230"/>
    <mergeCell ref="AO227:AQ230"/>
    <mergeCell ref="Z228:AK228"/>
    <mergeCell ref="Z229:AK229"/>
    <mergeCell ref="Z230:AK230"/>
    <mergeCell ref="Z231:AK231"/>
    <mergeCell ref="AL231:AN234"/>
    <mergeCell ref="F227:I234"/>
    <mergeCell ref="V227:Y234"/>
    <mergeCell ref="B227:E230"/>
    <mergeCell ref="J227:U234"/>
    <mergeCell ref="Z234:AK234"/>
    <mergeCell ref="AO239:AQ242"/>
    <mergeCell ref="Z240:AK240"/>
    <mergeCell ref="Z241:AK241"/>
    <mergeCell ref="B239:E242"/>
    <mergeCell ref="Z235:AK235"/>
    <mergeCell ref="AL235:AN238"/>
    <mergeCell ref="AO235:AQ238"/>
    <mergeCell ref="Z236:AK236"/>
    <mergeCell ref="Z237:AK237"/>
    <mergeCell ref="Z238:AK238"/>
    <mergeCell ref="Z239:AK239"/>
    <mergeCell ref="AL239:AN242"/>
    <mergeCell ref="F235:I242"/>
    <mergeCell ref="V235:Y242"/>
    <mergeCell ref="B235:E238"/>
    <mergeCell ref="J235:U242"/>
    <mergeCell ref="Z242:AK242"/>
    <mergeCell ref="AO247:AQ250"/>
    <mergeCell ref="Z248:AK248"/>
    <mergeCell ref="Z249:AK249"/>
    <mergeCell ref="B247:E250"/>
    <mergeCell ref="Z243:AK243"/>
    <mergeCell ref="AL243:AN246"/>
    <mergeCell ref="AO243:AQ246"/>
    <mergeCell ref="Z244:AK244"/>
    <mergeCell ref="Z245:AK245"/>
    <mergeCell ref="Z246:AK246"/>
    <mergeCell ref="Z247:AK247"/>
    <mergeCell ref="AL247:AN250"/>
    <mergeCell ref="F243:I250"/>
    <mergeCell ref="V243:Y250"/>
    <mergeCell ref="B243:E246"/>
    <mergeCell ref="J243:U250"/>
    <mergeCell ref="Z250:AK250"/>
    <mergeCell ref="AO255:AQ258"/>
    <mergeCell ref="Z256:AK256"/>
    <mergeCell ref="Z257:AK257"/>
    <mergeCell ref="B255:E258"/>
    <mergeCell ref="Z251:AK251"/>
    <mergeCell ref="AL251:AN254"/>
    <mergeCell ref="AO251:AQ254"/>
    <mergeCell ref="Z252:AK252"/>
    <mergeCell ref="Z253:AK253"/>
    <mergeCell ref="Z254:AK254"/>
    <mergeCell ref="Z255:AK255"/>
    <mergeCell ref="AL255:AN258"/>
    <mergeCell ref="F251:I258"/>
    <mergeCell ref="V251:Y258"/>
    <mergeCell ref="B251:E254"/>
    <mergeCell ref="J251:U258"/>
    <mergeCell ref="Z258:AK258"/>
    <mergeCell ref="AO263:AQ266"/>
    <mergeCell ref="Z264:AK264"/>
    <mergeCell ref="Z265:AK265"/>
    <mergeCell ref="B263:E266"/>
    <mergeCell ref="Z259:AK259"/>
    <mergeCell ref="AL259:AN262"/>
    <mergeCell ref="AO259:AQ262"/>
    <mergeCell ref="Z260:AK260"/>
    <mergeCell ref="Z261:AK261"/>
    <mergeCell ref="Z262:AK262"/>
    <mergeCell ref="Z263:AK263"/>
    <mergeCell ref="AL263:AN266"/>
    <mergeCell ref="F259:I266"/>
    <mergeCell ref="V259:Y266"/>
    <mergeCell ref="B259:E262"/>
    <mergeCell ref="J259:U266"/>
    <mergeCell ref="Z266:AK266"/>
    <mergeCell ref="AO271:AQ274"/>
    <mergeCell ref="Z272:AK272"/>
    <mergeCell ref="Z273:AK273"/>
    <mergeCell ref="B271:E274"/>
    <mergeCell ref="Z267:AK267"/>
    <mergeCell ref="AL267:AN270"/>
    <mergeCell ref="AO267:AQ270"/>
    <mergeCell ref="Z268:AK268"/>
    <mergeCell ref="Z269:AK269"/>
    <mergeCell ref="Z270:AK270"/>
    <mergeCell ref="Z271:AK271"/>
    <mergeCell ref="AL271:AN274"/>
    <mergeCell ref="F267:I274"/>
    <mergeCell ref="V267:Y274"/>
    <mergeCell ref="B267:E270"/>
    <mergeCell ref="J267:U274"/>
    <mergeCell ref="Z274:AK274"/>
    <mergeCell ref="AO279:AQ282"/>
    <mergeCell ref="Z280:AK280"/>
    <mergeCell ref="Z281:AK281"/>
    <mergeCell ref="B279:E282"/>
    <mergeCell ref="Z275:AK275"/>
    <mergeCell ref="AL275:AN278"/>
    <mergeCell ref="AO275:AQ278"/>
    <mergeCell ref="Z276:AK276"/>
    <mergeCell ref="Z277:AK277"/>
    <mergeCell ref="Z278:AK278"/>
    <mergeCell ref="Z279:AK279"/>
    <mergeCell ref="AL279:AN282"/>
    <mergeCell ref="F275:I282"/>
    <mergeCell ref="V275:Y282"/>
    <mergeCell ref="B275:E278"/>
    <mergeCell ref="J275:U282"/>
    <mergeCell ref="Z282:AK282"/>
    <mergeCell ref="AO287:AQ290"/>
    <mergeCell ref="Z288:AK288"/>
    <mergeCell ref="Z289:AK289"/>
    <mergeCell ref="B287:E290"/>
    <mergeCell ref="Z283:AK283"/>
    <mergeCell ref="AL283:AN286"/>
    <mergeCell ref="AO283:AQ286"/>
    <mergeCell ref="Z284:AK284"/>
    <mergeCell ref="Z285:AK285"/>
    <mergeCell ref="Z286:AK286"/>
    <mergeCell ref="Z287:AK287"/>
    <mergeCell ref="AL287:AN290"/>
    <mergeCell ref="F283:I290"/>
    <mergeCell ref="V283:Y290"/>
    <mergeCell ref="B283:E286"/>
    <mergeCell ref="J283:U290"/>
    <mergeCell ref="Z290:AK290"/>
    <mergeCell ref="AO295:AQ298"/>
    <mergeCell ref="Z296:AK296"/>
    <mergeCell ref="Z297:AK297"/>
    <mergeCell ref="B295:E298"/>
    <mergeCell ref="Z291:AK291"/>
    <mergeCell ref="AL291:AN294"/>
    <mergeCell ref="AO291:AQ294"/>
    <mergeCell ref="Z292:AK292"/>
    <mergeCell ref="Z293:AK293"/>
    <mergeCell ref="Z294:AK294"/>
    <mergeCell ref="Z295:AK295"/>
    <mergeCell ref="AL295:AN298"/>
    <mergeCell ref="F291:I298"/>
    <mergeCell ref="V291:Y298"/>
    <mergeCell ref="B291:E294"/>
    <mergeCell ref="J291:U298"/>
    <mergeCell ref="Z298:AK298"/>
    <mergeCell ref="AO303:AQ306"/>
    <mergeCell ref="Z304:AK304"/>
    <mergeCell ref="Z305:AK305"/>
    <mergeCell ref="B303:E306"/>
    <mergeCell ref="Z299:AK299"/>
    <mergeCell ref="AL299:AN302"/>
    <mergeCell ref="AO299:AQ302"/>
    <mergeCell ref="Z300:AK300"/>
    <mergeCell ref="Z301:AK301"/>
    <mergeCell ref="Z302:AK302"/>
    <mergeCell ref="Z303:AK303"/>
    <mergeCell ref="AL303:AN306"/>
    <mergeCell ref="F299:I306"/>
    <mergeCell ref="V299:Y306"/>
    <mergeCell ref="B299:E302"/>
    <mergeCell ref="J299:U306"/>
    <mergeCell ref="Z306:AK306"/>
    <mergeCell ref="AO311:AQ314"/>
    <mergeCell ref="Z312:AK312"/>
    <mergeCell ref="Z313:AK313"/>
    <mergeCell ref="B311:E314"/>
    <mergeCell ref="Z307:AK307"/>
    <mergeCell ref="AL307:AN310"/>
    <mergeCell ref="AO307:AQ310"/>
    <mergeCell ref="Z308:AK308"/>
    <mergeCell ref="Z309:AK309"/>
    <mergeCell ref="Z310:AK310"/>
    <mergeCell ref="Z311:AK311"/>
    <mergeCell ref="AL311:AN314"/>
    <mergeCell ref="F307:I314"/>
    <mergeCell ref="V307:Y314"/>
    <mergeCell ref="B307:E310"/>
    <mergeCell ref="J307:U314"/>
    <mergeCell ref="Z314:AK314"/>
    <mergeCell ref="AO319:AQ322"/>
    <mergeCell ref="Z320:AK320"/>
    <mergeCell ref="Z321:AK321"/>
    <mergeCell ref="B319:E322"/>
    <mergeCell ref="Z315:AK315"/>
    <mergeCell ref="AL315:AN318"/>
    <mergeCell ref="AO315:AQ318"/>
    <mergeCell ref="Z316:AK316"/>
    <mergeCell ref="Z317:AK317"/>
    <mergeCell ref="Z318:AK318"/>
    <mergeCell ref="Z319:AK319"/>
    <mergeCell ref="AL319:AN322"/>
    <mergeCell ref="F315:I322"/>
    <mergeCell ref="V315:Y322"/>
    <mergeCell ref="B315:E318"/>
    <mergeCell ref="J315:U322"/>
    <mergeCell ref="Z322:AK322"/>
    <mergeCell ref="AO327:AQ330"/>
    <mergeCell ref="Z328:AK328"/>
    <mergeCell ref="Z329:AK329"/>
    <mergeCell ref="B327:E330"/>
    <mergeCell ref="Z323:AK323"/>
    <mergeCell ref="AL323:AN326"/>
    <mergeCell ref="AO323:AQ326"/>
    <mergeCell ref="Z324:AK324"/>
    <mergeCell ref="Z325:AK325"/>
    <mergeCell ref="Z326:AK326"/>
    <mergeCell ref="Z327:AK327"/>
    <mergeCell ref="AL327:AN330"/>
    <mergeCell ref="F323:I330"/>
    <mergeCell ref="V323:Y330"/>
    <mergeCell ref="B323:E326"/>
    <mergeCell ref="J323:U330"/>
    <mergeCell ref="Z330:AK330"/>
    <mergeCell ref="AO335:AQ338"/>
    <mergeCell ref="Z336:AK336"/>
    <mergeCell ref="Z337:AK337"/>
    <mergeCell ref="B335:E338"/>
    <mergeCell ref="Z331:AK331"/>
    <mergeCell ref="AL331:AN334"/>
    <mergeCell ref="AO331:AQ334"/>
    <mergeCell ref="Z332:AK332"/>
    <mergeCell ref="Z333:AK333"/>
    <mergeCell ref="Z334:AK334"/>
    <mergeCell ref="Z335:AK335"/>
    <mergeCell ref="AL335:AN338"/>
    <mergeCell ref="F331:I338"/>
    <mergeCell ref="V331:Y338"/>
    <mergeCell ref="B331:E334"/>
    <mergeCell ref="J331:U338"/>
    <mergeCell ref="Z338:AK338"/>
    <mergeCell ref="AO343:AQ346"/>
    <mergeCell ref="Z344:AK344"/>
    <mergeCell ref="Z345:AK345"/>
    <mergeCell ref="B343:E346"/>
    <mergeCell ref="Z339:AK339"/>
    <mergeCell ref="AL339:AN342"/>
    <mergeCell ref="AO339:AQ342"/>
    <mergeCell ref="Z340:AK340"/>
    <mergeCell ref="Z341:AK341"/>
    <mergeCell ref="Z342:AK342"/>
    <mergeCell ref="Z343:AK343"/>
    <mergeCell ref="AL343:AN346"/>
    <mergeCell ref="F339:I346"/>
    <mergeCell ref="V339:Y346"/>
    <mergeCell ref="B339:E342"/>
    <mergeCell ref="J339:U346"/>
    <mergeCell ref="Z346:AK346"/>
    <mergeCell ref="AO351:AQ354"/>
    <mergeCell ref="Z352:AK352"/>
    <mergeCell ref="Z353:AK353"/>
    <mergeCell ref="B351:E354"/>
    <mergeCell ref="Z347:AK347"/>
    <mergeCell ref="AL347:AN350"/>
    <mergeCell ref="AO347:AQ350"/>
    <mergeCell ref="Z348:AK348"/>
    <mergeCell ref="Z349:AK349"/>
    <mergeCell ref="Z350:AK350"/>
    <mergeCell ref="Z351:AK351"/>
    <mergeCell ref="AL351:AN354"/>
    <mergeCell ref="F347:I354"/>
    <mergeCell ref="V347:Y354"/>
    <mergeCell ref="B347:E350"/>
    <mergeCell ref="J347:U354"/>
    <mergeCell ref="Z354:AK354"/>
    <mergeCell ref="AO359:AQ362"/>
    <mergeCell ref="Z360:AK360"/>
    <mergeCell ref="Z361:AK361"/>
    <mergeCell ref="B359:E362"/>
    <mergeCell ref="Z355:AK355"/>
    <mergeCell ref="AL355:AN358"/>
    <mergeCell ref="AO355:AQ358"/>
    <mergeCell ref="Z356:AK356"/>
    <mergeCell ref="Z357:AK357"/>
    <mergeCell ref="Z358:AK358"/>
    <mergeCell ref="Z359:AK359"/>
    <mergeCell ref="AL359:AN362"/>
    <mergeCell ref="F355:I362"/>
    <mergeCell ref="V355:Y362"/>
    <mergeCell ref="B355:E358"/>
    <mergeCell ref="J355:U362"/>
    <mergeCell ref="Z362:AK362"/>
    <mergeCell ref="AO367:AQ370"/>
    <mergeCell ref="Z368:AK368"/>
    <mergeCell ref="Z369:AK369"/>
    <mergeCell ref="B367:E370"/>
    <mergeCell ref="Z363:AK363"/>
    <mergeCell ref="AL363:AN366"/>
    <mergeCell ref="AO363:AQ366"/>
    <mergeCell ref="Z364:AK364"/>
    <mergeCell ref="Z365:AK365"/>
    <mergeCell ref="Z366:AK366"/>
    <mergeCell ref="Z367:AK367"/>
    <mergeCell ref="AL367:AN370"/>
    <mergeCell ref="F363:I370"/>
    <mergeCell ref="V363:Y370"/>
    <mergeCell ref="B363:E366"/>
    <mergeCell ref="J363:U370"/>
    <mergeCell ref="Z370:AK370"/>
    <mergeCell ref="AO375:AQ378"/>
    <mergeCell ref="Z376:AK376"/>
    <mergeCell ref="Z377:AK377"/>
    <mergeCell ref="B375:E378"/>
    <mergeCell ref="Z371:AK371"/>
    <mergeCell ref="AL371:AN374"/>
    <mergeCell ref="AO371:AQ374"/>
    <mergeCell ref="Z372:AK372"/>
    <mergeCell ref="Z373:AK373"/>
    <mergeCell ref="Z374:AK374"/>
    <mergeCell ref="Z375:AK375"/>
    <mergeCell ref="AL375:AN378"/>
    <mergeCell ref="F371:I378"/>
    <mergeCell ref="V371:Y378"/>
    <mergeCell ref="B371:E374"/>
    <mergeCell ref="J371:U378"/>
    <mergeCell ref="Z378:AK378"/>
    <mergeCell ref="AO383:AQ386"/>
    <mergeCell ref="Z384:AK384"/>
    <mergeCell ref="Z385:AK385"/>
    <mergeCell ref="B383:E386"/>
    <mergeCell ref="Z379:AK379"/>
    <mergeCell ref="AL379:AN382"/>
    <mergeCell ref="AO379:AQ382"/>
    <mergeCell ref="Z380:AK380"/>
    <mergeCell ref="Z381:AK381"/>
    <mergeCell ref="Z382:AK382"/>
    <mergeCell ref="Z383:AK383"/>
    <mergeCell ref="AL383:AN386"/>
    <mergeCell ref="F379:I386"/>
    <mergeCell ref="V379:Y386"/>
    <mergeCell ref="B379:E382"/>
    <mergeCell ref="J379:U386"/>
    <mergeCell ref="Z386:AK386"/>
    <mergeCell ref="AO391:AQ394"/>
    <mergeCell ref="Z392:AK392"/>
    <mergeCell ref="Z393:AK393"/>
    <mergeCell ref="B391:E394"/>
    <mergeCell ref="Z387:AK387"/>
    <mergeCell ref="AL387:AN390"/>
    <mergeCell ref="AO387:AQ390"/>
    <mergeCell ref="Z388:AK388"/>
    <mergeCell ref="Z389:AK389"/>
    <mergeCell ref="Z390:AK390"/>
    <mergeCell ref="Z391:AK391"/>
    <mergeCell ref="AL391:AN394"/>
    <mergeCell ref="F387:I394"/>
    <mergeCell ref="V387:Y394"/>
    <mergeCell ref="B387:E390"/>
    <mergeCell ref="J387:U394"/>
    <mergeCell ref="Z394:AK394"/>
    <mergeCell ref="AO399:AQ402"/>
    <mergeCell ref="Z400:AK400"/>
    <mergeCell ref="Z401:AK401"/>
    <mergeCell ref="B399:E402"/>
    <mergeCell ref="Z395:AK395"/>
    <mergeCell ref="AL395:AN398"/>
    <mergeCell ref="AO395:AQ398"/>
    <mergeCell ref="Z396:AK396"/>
    <mergeCell ref="Z397:AK397"/>
    <mergeCell ref="Z398:AK398"/>
    <mergeCell ref="Z399:AK399"/>
    <mergeCell ref="AL399:AN402"/>
    <mergeCell ref="F395:I402"/>
    <mergeCell ref="V395:Y402"/>
    <mergeCell ref="B395:E398"/>
    <mergeCell ref="J395:U402"/>
    <mergeCell ref="Z402:AK402"/>
    <mergeCell ref="AO407:AQ410"/>
    <mergeCell ref="Z408:AK408"/>
    <mergeCell ref="Z409:AK409"/>
    <mergeCell ref="B407:E410"/>
    <mergeCell ref="Z403:AK403"/>
    <mergeCell ref="AL403:AN406"/>
    <mergeCell ref="AO403:AQ406"/>
    <mergeCell ref="Z404:AK404"/>
    <mergeCell ref="Z405:AK405"/>
    <mergeCell ref="Z406:AK406"/>
    <mergeCell ref="Z407:AK407"/>
    <mergeCell ref="AL407:AN410"/>
    <mergeCell ref="F403:I410"/>
    <mergeCell ref="V403:Y410"/>
    <mergeCell ref="J403:U410"/>
    <mergeCell ref="Z410:AK410"/>
    <mergeCell ref="B403:E406"/>
    <mergeCell ref="B19:E22"/>
    <mergeCell ref="B23:E26"/>
    <mergeCell ref="F35:I42"/>
    <mergeCell ref="B31:E34"/>
    <mergeCell ref="B35:E38"/>
    <mergeCell ref="B39:E42"/>
    <mergeCell ref="F27:I34"/>
    <mergeCell ref="B27:E30"/>
    <mergeCell ref="J7:U10"/>
    <mergeCell ref="J11:U18"/>
    <mergeCell ref="J19:U26"/>
    <mergeCell ref="F19:I26"/>
    <mergeCell ref="B7:E8"/>
    <mergeCell ref="F7:I10"/>
    <mergeCell ref="B9:E10"/>
    <mergeCell ref="B11:E14"/>
    <mergeCell ref="B15:E18"/>
  </mergeCells>
  <phoneticPr fontId="1" type="noConversion"/>
  <pageMargins left="0.23622047244094491" right="0.23622047244094491" top="0.19685039370078741" bottom="0.19685039370078741" header="0.11811023622047245" footer="0.11811023622047245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기본정보</vt:lpstr>
      <vt:lpstr>공종별 위험성평가</vt:lpstr>
      <vt:lpstr>'공종별 위험성평가'!Print_Area</vt:lpstr>
      <vt:lpstr>기본정보!Print_Area</vt:lpstr>
      <vt:lpstr>'공종별 위험성평가'!Print_Titles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재현 홍</dc:creator>
  <cp:lastModifiedBy>홍 재현</cp:lastModifiedBy>
  <cp:lastPrinted>2025-06-06T13:02:56Z</cp:lastPrinted>
  <dcterms:created xsi:type="dcterms:W3CDTF">2025-06-06T08:25:10Z</dcterms:created>
  <dcterms:modified xsi:type="dcterms:W3CDTF">2026-03-24T13:40:13Z</dcterms:modified>
</cp:coreProperties>
</file>